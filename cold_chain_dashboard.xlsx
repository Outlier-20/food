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Full Dataset" sheetId="2" state="visible" r:id="rId4"/>
    <sheet name="Economic Analysis" sheetId="3" state="visible" r:id="rId5"/>
    <sheet name="Risk Insights" sheetId="4" state="visible" r:id="rId6"/>
    <sheet name="Methodology" sheetId="5" state="visible" r:id="rId7"/>
  </sheets>
  <definedNames>
    <definedName function="false" hidden="true" localSheetId="1" name="_xlnm._FilterDatabase" vbProcedure="false">'Full Dataset'!$A$1:$AG$34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<sst xmlns="http://schemas.openxmlformats.org/spreadsheetml/2006/main" count="901" uniqueCount="551">
  <si>
    <t xml:space="preserve">Cold Chain Failure Incident Dashboard</t>
  </si>
  <si>
    <t xml:space="preserve">Verified Dataset for Academic Research | Generated: 2026-04-10</t>
  </si>
  <si>
    <t xml:space="preserve">Total Incidents</t>
  </si>
  <si>
    <t xml:space="preserve">High Confidence</t>
  </si>
  <si>
    <t xml:space="preserve">Unique Sources</t>
  </si>
  <si>
    <t xml:space="preserve">Countries</t>
  </si>
  <si>
    <t xml:space="preserve">33</t>
  </si>
  <si>
    <t xml:space="preserve">21</t>
  </si>
  <si>
    <t xml:space="preserve">27</t>
  </si>
  <si>
    <t xml:space="preserve">13</t>
  </si>
  <si>
    <t xml:space="preserve">Top Failure Types</t>
  </si>
  <si>
    <t xml:space="preserve">Failure Type</t>
  </si>
  <si>
    <t xml:space="preserve">Count</t>
  </si>
  <si>
    <t xml:space="preserve">Infrastructure Gap</t>
  </si>
  <si>
    <t xml:space="preserve">Temperature Control Failure</t>
  </si>
  <si>
    <t xml:space="preserve">Equipment Malfunction</t>
  </si>
  <si>
    <t xml:space="preserve">Logistics Delay (Pandemic)</t>
  </si>
  <si>
    <t xml:space="preserve">Power Supply Failure</t>
  </si>
  <si>
    <t xml:space="preserve">Pre-cooling Failure</t>
  </si>
  <si>
    <t xml:space="preserve">Logistics Delay</t>
  </si>
  <si>
    <t xml:space="preserve">Container Misuse / Thermal Runaway</t>
  </si>
  <si>
    <t xml:space="preserve">Demand Collapse / Cold Storage Overflow</t>
  </si>
  <si>
    <t xml:space="preserve">Infrastructure Gap / Handling Failure</t>
  </si>
  <si>
    <t xml:space="preserve">Product Categories Affected</t>
  </si>
  <si>
    <t xml:space="preserve">Product Type</t>
  </si>
  <si>
    <t xml:space="preserve">Seafood</t>
  </si>
  <si>
    <t xml:space="preserve">Mixed Perishables</t>
  </si>
  <si>
    <t xml:space="preserve">Fruits</t>
  </si>
  <si>
    <t xml:space="preserve">Freshwater Fish</t>
  </si>
  <si>
    <t xml:space="preserve">Fruits and Vegetables</t>
  </si>
  <si>
    <t xml:space="preserve">Chemical (misuse of reefer container)</t>
  </si>
  <si>
    <t xml:space="preserve">Meat and Seafood</t>
  </si>
  <si>
    <t xml:space="preserve">Mixed (including perishables)</t>
  </si>
  <si>
    <t xml:space="preserve">Incident_ID</t>
  </si>
  <si>
    <t xml:space="preserve">Incident_Date</t>
  </si>
  <si>
    <t xml:space="preserve">Publication_Date</t>
  </si>
  <si>
    <t xml:space="preserve">Source_Name</t>
  </si>
  <si>
    <t xml:space="preserve">Source_Type</t>
  </si>
  <si>
    <t xml:space="preserve">Source_Link</t>
  </si>
  <si>
    <t xml:space="preserve">Country_of_Origin</t>
  </si>
  <si>
    <t xml:space="preserve">Exporting_Country</t>
  </si>
  <si>
    <t xml:space="preserve">Importing_Country</t>
  </si>
  <si>
    <t xml:space="preserve">Product_Name</t>
  </si>
  <si>
    <t xml:space="preserve">Product_Type</t>
  </si>
  <si>
    <t xml:space="preserve">Cold_Chain_Type</t>
  </si>
  <si>
    <t xml:space="preserve">Temperature_Requirement</t>
  </si>
  <si>
    <t xml:space="preserve">Actual_Temperature_Deviation</t>
  </si>
  <si>
    <t xml:space="preserve">Shipment_Mode</t>
  </si>
  <si>
    <t xml:space="preserve">Vessel_Type</t>
  </si>
  <si>
    <t xml:space="preserve">Container_Type</t>
  </si>
  <si>
    <t xml:space="preserve">Refrigeration_Technology</t>
  </si>
  <si>
    <t xml:space="preserve">Port_of_Origin</t>
  </si>
  <si>
    <t xml:space="preserve">Port_of_Destination</t>
  </si>
  <si>
    <t xml:space="preserve">Location_of_Failure</t>
  </si>
  <si>
    <t xml:space="preserve">Stage_of_Supply_Chain</t>
  </si>
  <si>
    <t xml:space="preserve">Cause_of_Spoilage</t>
  </si>
  <si>
    <t xml:space="preserve">Failure_Type</t>
  </si>
  <si>
    <t xml:space="preserve">Duration_of_Exposure</t>
  </si>
  <si>
    <t xml:space="preserve">Quantity_Lost</t>
  </si>
  <si>
    <t xml:space="preserve">Economic_Loss_USD</t>
  </si>
  <si>
    <t xml:space="preserve">Environmental_Conditions</t>
  </si>
  <si>
    <t xml:space="preserve">Monitoring_System</t>
  </si>
  <si>
    <t xml:space="preserve">Alert_Response_Action</t>
  </si>
  <si>
    <t xml:space="preserve">Insurance_Claim_Status</t>
  </si>
  <si>
    <t xml:space="preserve">Regulatory_Findings</t>
  </si>
  <si>
    <t xml:space="preserve">Data_Reliability_Score</t>
  </si>
  <si>
    <t xml:space="preserve">BPI-2021-001</t>
  </si>
  <si>
    <t xml:space="preserve">2021-06-15</t>
  </si>
  <si>
    <t xml:space="preserve">2022-04-01</t>
  </si>
  <si>
    <t xml:space="preserve">Britannia P&amp;I Club</t>
  </si>
  <si>
    <t xml:space="preserve">P&amp;I Club Loss Prevention Report</t>
  </si>
  <si>
    <t xml:space="preserve">https://britanniapandi.com/2022/04/refrigerated-container-cargo-claims/</t>
  </si>
  <si>
    <t xml:space="preserve">Tuna</t>
  </si>
  <si>
    <t xml:space="preserve">Frozen</t>
  </si>
  <si>
    <t xml:space="preserve">-18</t>
  </si>
  <si>
    <t xml:space="preserve">Maritime</t>
  </si>
  <si>
    <t xml:space="preserve">Container Ship</t>
  </si>
  <si>
    <t xml:space="preserve">40ft Reefer</t>
  </si>
  <si>
    <t xml:space="preserve">Integral Reefer Unit</t>
  </si>
  <si>
    <t xml:space="preserve">At Sea</t>
  </si>
  <si>
    <t xml:space="preserve">Maritime Transport</t>
  </si>
  <si>
    <t xml:space="preserve">Unintentional thawing due to power supply interruption</t>
  </si>
  <si>
    <t xml:space="preserve">12 containers</t>
  </si>
  <si>
    <t xml:space="preserve">Cargo surveyor requested</t>
  </si>
  <si>
    <t xml:space="preserve">Claimed</t>
  </si>
  <si>
    <t xml:space="preserve">High</t>
  </si>
  <si>
    <t xml:space="preserve">BPI-2021-002</t>
  </si>
  <si>
    <t xml:space="preserve">2021-08-20</t>
  </si>
  <si>
    <t xml:space="preserve">Mixed Tropical Fruit</t>
  </si>
  <si>
    <t xml:space="preserve">Chilled</t>
  </si>
  <si>
    <t xml:space="preserve">2</t>
  </si>
  <si>
    <t xml:space="preserve">In Transit</t>
  </si>
  <si>
    <t xml:space="preserve">Temperature abuse — cargo loaded above set-point temperature</t>
  </si>
  <si>
    <t xml:space="preserve">27 containers</t>
  </si>
  <si>
    <t xml:space="preserve">BPI-2021-003</t>
  </si>
  <si>
    <t xml:space="preserve">2021-05-10</t>
  </si>
  <si>
    <t xml:space="preserve">Frozen Shrimps</t>
  </si>
  <si>
    <t xml:space="preserve">Temperature abuse during voyage</t>
  </si>
  <si>
    <t xml:space="preserve">3 containers</t>
  </si>
  <si>
    <t xml:space="preserve">BPI-2021-004</t>
  </si>
  <si>
    <t xml:space="preserve">2021-09-05</t>
  </si>
  <si>
    <t xml:space="preserve">Cherries</t>
  </si>
  <si>
    <t xml:space="preserve">0</t>
  </si>
  <si>
    <t xml:space="preserve">Temperature abuse of cherry consignment</t>
  </si>
  <si>
    <t xml:space="preserve">BPI-2021-005</t>
  </si>
  <si>
    <t xml:space="preserve">2021-03-18</t>
  </si>
  <si>
    <t xml:space="preserve">Shrimps and Prawns</t>
  </si>
  <si>
    <t xml:space="preserve">Reefer unit mechanical malfunction</t>
  </si>
  <si>
    <t xml:space="preserve">BPI-2021-006</t>
  </si>
  <si>
    <t xml:space="preserve">2021-11-22</t>
  </si>
  <si>
    <t xml:space="preserve">Perishable Cargo (unspecified)</t>
  </si>
  <si>
    <t xml:space="preserve">In Port</t>
  </si>
  <si>
    <t xml:space="preserve">Port Handling</t>
  </si>
  <si>
    <t xml:space="preserve">Delay for mechanical repairs causing prolonged temperature exposure</t>
  </si>
  <si>
    <t xml:space="preserve">IMO-2024-001</t>
  </si>
  <si>
    <t xml:space="preserve">2024-08-09</t>
  </si>
  <si>
    <t xml:space="preserve">2025-03-15</t>
  </si>
  <si>
    <t xml:space="preserve">China Maritime Safety Administration (CMSA)</t>
  </si>
  <si>
    <t xml:space="preserve">Maritime Safety Investigation Report</t>
  </si>
  <si>
    <t xml:space="preserve">https://safety4sea.com/china-msa-investigation-explosion-aboard-the-ym-mobility/</t>
  </si>
  <si>
    <t xml:space="preserve">CN</t>
  </si>
  <si>
    <t xml:space="preserve">tert-Butyl peroxybenzoate (TBPB) in reefer container</t>
  </si>
  <si>
    <t xml:space="preserve">Reefer (unplugged, used as dry container)</t>
  </si>
  <si>
    <t xml:space="preserve">None (reefer not powered)</t>
  </si>
  <si>
    <t xml:space="preserve">Ningbo</t>
  </si>
  <si>
    <t xml:space="preserve">Port of Ningbo, China</t>
  </si>
  <si>
    <t xml:space="preserve">Port Storage</t>
  </si>
  <si>
    <t xml:space="preserve">Thermal runaway in unplugged reefer — TBPB self-decomposition at ambient 40°C</t>
  </si>
  <si>
    <t xml:space="preserve">Multiple containers destroyed</t>
  </si>
  <si>
    <t xml:space="preserve">Extreme summer heat, ambient 40°C</t>
  </si>
  <si>
    <t xml:space="preserve">Emergency response, port evacuation</t>
  </si>
  <si>
    <t xml:space="preserve">Under investigation</t>
  </si>
  <si>
    <t xml:space="preserve">Both operator and shipper found responsible</t>
  </si>
  <si>
    <t xml:space="preserve">SWC-2020-001</t>
  </si>
  <si>
    <t xml:space="preserve">2020-04-15</t>
  </si>
  <si>
    <t xml:space="preserve">2021-06-01</t>
  </si>
  <si>
    <t xml:space="preserve">The Swedish Club</t>
  </si>
  <si>
    <t xml:space="preserve">https://www.swedishclub.com/loss-prevention/cargo/container-vessels/</t>
  </si>
  <si>
    <t xml:space="preserve">Fresh Produce</t>
  </si>
  <si>
    <t xml:space="preserve">Port Handling / Transit Delay</t>
  </si>
  <si>
    <t xml:space="preserve">COVID-19 port congestion causing extended delays; reefer containers delayed in port or road/rail transit</t>
  </si>
  <si>
    <t xml:space="preserve">Claimed (270% surge in reefer claims)</t>
  </si>
  <si>
    <t xml:space="preserve">SWC-2020-002</t>
  </si>
  <si>
    <t xml:space="preserve">2020-07-20</t>
  </si>
  <si>
    <t xml:space="preserve">Frozen Meat and Fish</t>
  </si>
  <si>
    <t xml:space="preserve">In Port / Road-Rail Interface</t>
  </si>
  <si>
    <t xml:space="preserve">Intermodal Transfer</t>
  </si>
  <si>
    <t xml:space="preserve">COVID-19 pandemic delays causing extended exposure; road/rail transport delays to port</t>
  </si>
  <si>
    <t xml:space="preserve">RASFF-2024-001</t>
  </si>
  <si>
    <t xml:space="preserve">2024-03-18</t>
  </si>
  <si>
    <t xml:space="preserve">2024-03-20</t>
  </si>
  <si>
    <t xml:space="preserve">EU RASFF</t>
  </si>
  <si>
    <t xml:space="preserve">Rapid Alert System Notification</t>
  </si>
  <si>
    <t xml:space="preserve">https://webgate.ec.europa.eu/rasff-window/screen/list</t>
  </si>
  <si>
    <t xml:space="preserve">NO</t>
  </si>
  <si>
    <t xml:space="preserve">DK</t>
  </si>
  <si>
    <t xml:space="preserve">Cold-Smoked Salmon</t>
  </si>
  <si>
    <t xml:space="preserve">Maritime/Road</t>
  </si>
  <si>
    <t xml:space="preserve">Refrigerated Truck/Container</t>
  </si>
  <si>
    <t xml:space="preserve">In Transit (Norway to Denmark)</t>
  </si>
  <si>
    <t xml:space="preserve">Distribution</t>
  </si>
  <si>
    <t xml:space="preserve">L. monocytogenes contamination linked to cold chain temperature control failure</t>
  </si>
  <si>
    <t xml:space="preserve">RASFF alert notification 2024.2029</t>
  </si>
  <si>
    <t xml:space="preserve">Product recalled</t>
  </si>
  <si>
    <t xml:space="preserve">RASFF-AGG-001</t>
  </si>
  <si>
    <t xml:space="preserve">2022-12-31</t>
  </si>
  <si>
    <t xml:space="preserve">2024-01-15</t>
  </si>
  <si>
    <t xml:space="preserve">EU RASFF / ScienceDirect (Fish contamination analysis 2000-2022)</t>
  </si>
  <si>
    <t xml:space="preserve">Academic Analysis of RASFF Database</t>
  </si>
  <si>
    <t xml:space="preserve">https://www.sciencedirect.com/science/article/abs/pii/S095671352400121X</t>
  </si>
  <si>
    <t xml:space="preserve">ES</t>
  </si>
  <si>
    <t xml:space="preserve">Tuna and Swordfish</t>
  </si>
  <si>
    <t xml:space="preserve">EU Border Inspection Points</t>
  </si>
  <si>
    <t xml:space="preserve">Import/Border Control</t>
  </si>
  <si>
    <t xml:space="preserve">Poor temperature control during transport; histamine formation</t>
  </si>
  <si>
    <t xml:space="preserve">6808 notifications total (fish) over 2000-2022; 37% rejected at border, 41.1% due to temperature</t>
  </si>
  <si>
    <t xml:space="preserve">Border rejection / product destruction</t>
  </si>
  <si>
    <t xml:space="preserve">Spain most notified origin (14.66%), Vietnam (7.70%), Morocco (5.35%)</t>
  </si>
  <si>
    <t xml:space="preserve">FAO-2022-001</t>
  </si>
  <si>
    <t xml:space="preserve">2022-11-07</t>
  </si>
  <si>
    <t xml:space="preserve">FAO/UNEP Sustainable Food Cold Chains Report 2022</t>
  </si>
  <si>
    <t xml:space="preserve">International Organization Report</t>
  </si>
  <si>
    <t xml:space="preserve">https://www.unep.org/resources/report/sustainable-food-cold-chains-opportunities-challenges-and-way-forward</t>
  </si>
  <si>
    <t xml:space="preserve">All Perishable Foods</t>
  </si>
  <si>
    <t xml:space="preserve">Chilled/Frozen</t>
  </si>
  <si>
    <t xml:space="preserve">All Modes</t>
  </si>
  <si>
    <t xml:space="preserve">Global (developing countries primary)</t>
  </si>
  <si>
    <t xml:space="preserve">Post-Harvest to Retail</t>
  </si>
  <si>
    <t xml:space="preserve">Lack of cold chain infrastructure; 526 million tonnes lost annually (12% of global production)</t>
  </si>
  <si>
    <t xml:space="preserve">526000000 tonnes annually</t>
  </si>
  <si>
    <t xml:space="preserve">Developing countries could save 144 million tonnes annually with adequate cold chains</t>
  </si>
  <si>
    <t xml:space="preserve">WB-NGA-2023-001</t>
  </si>
  <si>
    <t xml:space="preserve">2023-06-30</t>
  </si>
  <si>
    <t xml:space="preserve">2023-08-15</t>
  </si>
  <si>
    <t xml:space="preserve">World Bank / BusinessDay Nigeria</t>
  </si>
  <si>
    <t xml:space="preserve">Government/Media Report citing official statistics</t>
  </si>
  <si>
    <t xml:space="preserve">https://businessday.ng/agriculture/article/nigeria-can-tackle-n3-5trn-post-harvest-losses-with-effective-cold-chain/</t>
  </si>
  <si>
    <t xml:space="preserve">NG</t>
  </si>
  <si>
    <t xml:space="preserve">Fish, Vegetables, Fruits, Dairy, Root Crops</t>
  </si>
  <si>
    <t xml:space="preserve">Road/Local</t>
  </si>
  <si>
    <t xml:space="preserve">Rudimentary / None</t>
  </si>
  <si>
    <t xml:space="preserve">Nigeria — post-harvest to market</t>
  </si>
  <si>
    <t xml:space="preserve">Post-Harvest Handling and Distribution</t>
  </si>
  <si>
    <t xml:space="preserve">Absence of cold chain infrastructure; 30-40 million metric tonnes lost per year</t>
  </si>
  <si>
    <t xml:space="preserve">30000000-40000000 tonnes/year</t>
  </si>
  <si>
    <t xml:space="preserve">Tropical climate, high ambient temperatures</t>
  </si>
  <si>
    <t xml:space="preserve">None / Manual</t>
  </si>
  <si>
    <t xml:space="preserve">N3.5-5 trillion in annual losses</t>
  </si>
  <si>
    <t xml:space="preserve">Medium</t>
  </si>
  <si>
    <t xml:space="preserve">FAO-ETH-2023-001</t>
  </si>
  <si>
    <t xml:space="preserve">2023-01-15</t>
  </si>
  <si>
    <t xml:space="preserve">2023-06-01</t>
  </si>
  <si>
    <t xml:space="preserve">FAO / Fisheries and Aquatic Sciences Journal</t>
  </si>
  <si>
    <t xml:space="preserve">Academic Journal (peer-reviewed)</t>
  </si>
  <si>
    <t xml:space="preserve">https://www.e-fas.org/archive/view_article?pid=fas-28-1-30</t>
  </si>
  <si>
    <t xml:space="preserve">ET</t>
  </si>
  <si>
    <t xml:space="preserve">Nile Tilapia, African Catfish, Carp</t>
  </si>
  <si>
    <t xml:space="preserve">None / Ice-based</t>
  </si>
  <si>
    <t xml:space="preserve">Ethiopia — Lake Tana region</t>
  </si>
  <si>
    <t xml:space="preserve">Post-Harvest / Local Distribution</t>
  </si>
  <si>
    <t xml:space="preserve">Lack of cold chain; carp 20.09% loss, catfish 17.31%, tilapia 10.8%; overall 33.3% loss</t>
  </si>
  <si>
    <t xml:space="preserve">33.3% of catch</t>
  </si>
  <si>
    <t xml:space="preserve">Tropical highland</t>
  </si>
  <si>
    <t xml:space="preserve">FAO-TZA-2022-001</t>
  </si>
  <si>
    <t xml:space="preserve">2022-06-30</t>
  </si>
  <si>
    <t xml:space="preserve">FAO Fish Value Chains / Academic Research</t>
  </si>
  <si>
    <t xml:space="preserve">https://www.fao.org/flw-in-fish-value-chains/overview/food-loss-and-waste-in-fish-value-chains/en/</t>
  </si>
  <si>
    <t xml:space="preserve">TZ</t>
  </si>
  <si>
    <t xml:space="preserve">Nile Perch</t>
  </si>
  <si>
    <t xml:space="preserve">Ice-based / None</t>
  </si>
  <si>
    <t xml:space="preserve">Tanzania — Bagamoyo district / Lake Victoria value chain</t>
  </si>
  <si>
    <t xml:space="preserve">Post-Harvest / Processing</t>
  </si>
  <si>
    <t xml:space="preserve">Underdeveloped cold chain; 31% value chain loss (12.1% quality, 18.9% physical); 10% per season spoilage</t>
  </si>
  <si>
    <t xml:space="preserve">31% of value chain</t>
  </si>
  <si>
    <t xml:space="preserve">Tropical</t>
  </si>
  <si>
    <t xml:space="preserve">FAO-UGA-2022-001</t>
  </si>
  <si>
    <t xml:space="preserve">FAO Fish Value Chains</t>
  </si>
  <si>
    <t xml:space="preserve">UG</t>
  </si>
  <si>
    <t xml:space="preserve">Nile Perch (artisanal catch)</t>
  </si>
  <si>
    <t xml:space="preserve">Local/Road</t>
  </si>
  <si>
    <t xml:space="preserve">Uganda — Lake Victoria artisanal fisheries</t>
  </si>
  <si>
    <t xml:space="preserve">Post-Harvest</t>
  </si>
  <si>
    <t xml:space="preserve">Lack of cold chain infrastructure; 25-30% of total catch lost</t>
  </si>
  <si>
    <t xml:space="preserve">25-30% of catch</t>
  </si>
  <si>
    <t xml:space="preserve">FAO-MWI-2022-001</t>
  </si>
  <si>
    <t xml:space="preserve">2020-09-01</t>
  </si>
  <si>
    <t xml:space="preserve">ScienceDirect / Malawi Fisheries Policy</t>
  </si>
  <si>
    <t xml:space="preserve">https://www.sciencedirect.com/science/article/pii/S0305750X14002307</t>
  </si>
  <si>
    <t xml:space="preserve">MW</t>
  </si>
  <si>
    <t xml:space="preserve">Rudimentary / Sun-drying</t>
  </si>
  <si>
    <t xml:space="preserve">Malawi — nationwide fish value chain</t>
  </si>
  <si>
    <t xml:space="preserve">Inadequate cold storage; estimated 40% post-harvest loss</t>
  </si>
  <si>
    <t xml:space="preserve">40% of harvest</t>
  </si>
  <si>
    <t xml:space="preserve">Tropical / Sub-tropical</t>
  </si>
  <si>
    <t xml:space="preserve">Government policy target to reduce to 20%</t>
  </si>
  <si>
    <t xml:space="preserve">2016 National Fisheries and Aquaculture Policy</t>
  </si>
  <si>
    <t xml:space="preserve">FAO-IDN-2020-001</t>
  </si>
  <si>
    <t xml:space="preserve">2020-04-30</t>
  </si>
  <si>
    <t xml:space="preserve">2021-03-01</t>
  </si>
  <si>
    <t xml:space="preserve">FAO / Indonesia Fishery Product Processing and Marketing Association</t>
  </si>
  <si>
    <t xml:space="preserve">https://www.fao.org/flw-in-fish-value-chains/value-chain/processing-storage/cold-storage/services-infrastructure/en/</t>
  </si>
  <si>
    <t xml:space="preserve">ID</t>
  </si>
  <si>
    <t xml:space="preserve">Fishery Products (mixed)</t>
  </si>
  <si>
    <t xml:space="preserve">Indonesia — nationwide</t>
  </si>
  <si>
    <t xml:space="preserve">Processing / Distribution</t>
  </si>
  <si>
    <t xml:space="preserve">COVID-19 caused 80% drop in demand; cold storage overwhelmed; fish loss and waste increased significantly</t>
  </si>
  <si>
    <t xml:space="preserve">WB-IND-2023-001</t>
  </si>
  <si>
    <t xml:space="preserve">2021-11-01</t>
  </si>
  <si>
    <t xml:space="preserve">World Bank Cold Chains in Developing Economies Report</t>
  </si>
  <si>
    <t xml:space="preserve">https://documents1.worldbank.org/curated/en/768601637124616069/pdf/Cold-Chains-in-Developing-Economies-A-Techno-Socio-Economic-Structural-Development-Challenge-Background-Paper.pdf</t>
  </si>
  <si>
    <t xml:space="preserve">IN</t>
  </si>
  <si>
    <t xml:space="preserve">Fresh Produce (fruits, vegetables)</t>
  </si>
  <si>
    <t xml:space="preserve">4</t>
  </si>
  <si>
    <t xml:space="preserve">Road/Rail</t>
  </si>
  <si>
    <t xml:space="preserve">Insufficient / Fragmented</t>
  </si>
  <si>
    <t xml:space="preserve">India — post-harvest to market chain</t>
  </si>
  <si>
    <t xml:space="preserve">Post-Harvest / Distribution</t>
  </si>
  <si>
    <t xml:space="preserve">Inadequate refrigeration and transport; 30-40% of fresh produce lost post-harvest</t>
  </si>
  <si>
    <t xml:space="preserve">30-40% of fresh produce</t>
  </si>
  <si>
    <t xml:space="preserve">Limited</t>
  </si>
  <si>
    <t xml:space="preserve">Refrigerated warehouse capacity expanded 35% (2020-2024)</t>
  </si>
  <si>
    <t xml:space="preserve">FAO-MENA-2023-001</t>
  </si>
  <si>
    <t xml:space="preserve">Logistics Middle East / FAO Data</t>
  </si>
  <si>
    <t xml:space="preserve">Industry Report citing FAO statistics</t>
  </si>
  <si>
    <t xml:space="preserve">https://www.logisticsmiddleeast.com/supply-chain/food-logistics-is-the-middle-easts-most-exposed-supply-chain</t>
  </si>
  <si>
    <t xml:space="preserve">Temperature-sensitive food produce</t>
  </si>
  <si>
    <t xml:space="preserve">Middle East and North Africa region</t>
  </si>
  <si>
    <t xml:space="preserve">Cold chain fragility; 15% of food lost between post-harvest and retail in MENA region</t>
  </si>
  <si>
    <t xml:space="preserve">15% of food produced in MENA</t>
  </si>
  <si>
    <t xml:space="preserve">Arid / Hot climate</t>
  </si>
  <si>
    <t xml:space="preserve">FAO-SOM-YEM-2023-001</t>
  </si>
  <si>
    <t xml:space="preserve">2023-09-25</t>
  </si>
  <si>
    <t xml:space="preserve">Maersk/FAO Africa Food Chain Report</t>
  </si>
  <si>
    <t xml:space="preserve">Industry Report citing official data</t>
  </si>
  <si>
    <t xml:space="preserve">https://www.maersk.com/insights/growth/2023/09/25/africa-food-chain</t>
  </si>
  <si>
    <t xml:space="preserve">Fish (marine catch)</t>
  </si>
  <si>
    <t xml:space="preserve">Somalia and Yemen — landing sites to markets</t>
  </si>
  <si>
    <t xml:space="preserve">Complete absence of refrigeration; large share of fish spoils before reaching market</t>
  </si>
  <si>
    <t xml:space="preserve">No Cold Chain</t>
  </si>
  <si>
    <t xml:space="preserve">Hot arid climate</t>
  </si>
  <si>
    <t xml:space="preserve">US-2022-001</t>
  </si>
  <si>
    <t xml:space="preserve">2022-07-15</t>
  </si>
  <si>
    <t xml:space="preserve">2023-01-10</t>
  </si>
  <si>
    <t xml:space="preserve">Industry Report / Sensitech / FDA</t>
  </si>
  <si>
    <t xml:space="preserve">Industry Report</t>
  </si>
  <si>
    <t xml:space="preserve">https://www.sensitech.com/en/blog/blog-articles/blog-reducing-loss-cold-chain.html</t>
  </si>
  <si>
    <t xml:space="preserve">US</t>
  </si>
  <si>
    <t xml:space="preserve">Fresh Seafood</t>
  </si>
  <si>
    <t xml:space="preserve">Road (cross-country)</t>
  </si>
  <si>
    <t xml:space="preserve">Refrigerated Truck</t>
  </si>
  <si>
    <t xml:space="preserve">Mechanical Refrigeration</t>
  </si>
  <si>
    <t xml:space="preserve">United States — cross-country shipment</t>
  </si>
  <si>
    <t xml:space="preserve">Road Transport</t>
  </si>
  <si>
    <t xml:space="preserve">Refrigeration system malfunction; temperatures rose above safe levels for 6 hours</t>
  </si>
  <si>
    <t xml:space="preserve">6 hours</t>
  </si>
  <si>
    <t xml:space="preserve">Total loss of shipment</t>
  </si>
  <si>
    <t xml:space="preserve">US-2023-001</t>
  </si>
  <si>
    <t xml:space="preserve">2023-09-20</t>
  </si>
  <si>
    <t xml:space="preserve">2024-02-01</t>
  </si>
  <si>
    <t xml:space="preserve">Industry Report / Food Safety Magazine</t>
  </si>
  <si>
    <t xml:space="preserve">https://www.food-safety.com/articles/10664-fda-sampling-finds-one-third-of-imported-ice-glazed-seafood-products-to-be-fraudulent</t>
  </si>
  <si>
    <t xml:space="preserve">Mixed Perishable Products (proteins, dairy)</t>
  </si>
  <si>
    <t xml:space="preserve">Storage/Distribution</t>
  </si>
  <si>
    <t xml:space="preserve">Distribution Center Cold Storage</t>
  </si>
  <si>
    <t xml:space="preserve">Central Refrigeration System</t>
  </si>
  <si>
    <t xml:space="preserve">United States — Midwest distribution center</t>
  </si>
  <si>
    <t xml:space="preserve">Cold Storage / Distribution</t>
  </si>
  <si>
    <t xml:space="preserve">Refrigeration system failure; temperatures rose above safe levels for 8 hours</t>
  </si>
  <si>
    <t xml:space="preserve">8 hours</t>
  </si>
  <si>
    <t xml:space="preserve">All perishable inventory disposed</t>
  </si>
  <si>
    <t xml:space="preserve">Full inventory disposal</t>
  </si>
  <si>
    <t xml:space="preserve">MAR-2021-001</t>
  </si>
  <si>
    <t xml:space="preserve">2021-02-17</t>
  </si>
  <si>
    <t xml:space="preserve">2021-02-20</t>
  </si>
  <si>
    <t xml:space="preserve">FreightWaves / Maersk</t>
  </si>
  <si>
    <t xml:space="preserve">Maritime Incident Report</t>
  </si>
  <si>
    <t xml:space="preserve">https://www.freightwaves.com/news/260-containers-lost-65-damaged-in-maersk-eindhoven-at-sea-mishap</t>
  </si>
  <si>
    <t xml:space="preserve">Mixed cargo (including reefer containers)</t>
  </si>
  <si>
    <t xml:space="preserve">Container Ship (Maersk Eindhoven)</t>
  </si>
  <si>
    <t xml:space="preserve">Mixed (including 40ft reefers)</t>
  </si>
  <si>
    <t xml:space="preserve">Xiamen, China</t>
  </si>
  <si>
    <t xml:space="preserve">Los Angeles, USA</t>
  </si>
  <si>
    <t xml:space="preserve">North Pacific Ocean (off Japan coast)</t>
  </si>
  <si>
    <t xml:space="preserve">Engine failure in severe weather; 260 containers lost overboard, 65 damaged</t>
  </si>
  <si>
    <t xml:space="preserve">Vessel Casualty / Severe Weather</t>
  </si>
  <si>
    <t xml:space="preserve">260 containers lost, 65 damaged</t>
  </si>
  <si>
    <t xml:space="preserve">Severe weather, heavy seas</t>
  </si>
  <si>
    <t xml:space="preserve">Vessel diverted</t>
  </si>
  <si>
    <t xml:space="preserve">EU-IND-2023-001</t>
  </si>
  <si>
    <t xml:space="preserve">2023-12-31</t>
  </si>
  <si>
    <t xml:space="preserve">2024-06-01</t>
  </si>
  <si>
    <t xml:space="preserve">The Fish Site / EU RASFF</t>
  </si>
  <si>
    <t xml:space="preserve">Regulatory Agency Data</t>
  </si>
  <si>
    <t xml:space="preserve">https://thefishsite.com/articles/indias-shrimp-exports-hit-by-eu-rejections</t>
  </si>
  <si>
    <t xml:space="preserve">Shrimp</t>
  </si>
  <si>
    <t xml:space="preserve">Reefer Container</t>
  </si>
  <si>
    <t xml:space="preserve">EU border inspection points</t>
  </si>
  <si>
    <t xml:space="preserve">Antibiotic residues + temperature control violations; 50% inspection failure rate in 2023</t>
  </si>
  <si>
    <t xml:space="preserve">Quality Control Failure / Contamination</t>
  </si>
  <si>
    <t xml:space="preserve">100% pre-export testing required; 50% import testing</t>
  </si>
  <si>
    <t xml:space="preserve">EU intensified testing maintained into 2024</t>
  </si>
  <si>
    <t xml:space="preserve">GEO-2024-001</t>
  </si>
  <si>
    <t xml:space="preserve">Seatrade Maritime / DHL Reefer Market Update</t>
  </si>
  <si>
    <t xml:space="preserve">https://www.dhl.com/content/dam/dhl/global/dhl-global-forwarding/documents/pdf/dhl-dgf-ofr-reefer-market-update.pdf</t>
  </si>
  <si>
    <t xml:space="preserve">Perishable Goods (various)</t>
  </si>
  <si>
    <t xml:space="preserve">Red Sea / Suez Canal route</t>
  </si>
  <si>
    <t xml:space="preserve">Red Sea conflict forced rerouting via Cape of Good Hope; extended transit times increasing spoilage risk for perishables</t>
  </si>
  <si>
    <t xml:space="preserve">Geopolitical Disruption / Extended Transit</t>
  </si>
  <si>
    <t xml:space="preserve">Additional 10-14 days transit</t>
  </si>
  <si>
    <t xml:space="preserve">CMA CGM Emergency Operation Surcharge: $1200-2000/container</t>
  </si>
  <si>
    <t xml:space="preserve">MSC and CMA CGM suspended Red Sea transits</t>
  </si>
  <si>
    <t xml:space="preserve">FAO-SSA-2024-001</t>
  </si>
  <si>
    <t xml:space="preserve">2024-06-30</t>
  </si>
  <si>
    <t xml:space="preserve">2024-03-15</t>
  </si>
  <si>
    <t xml:space="preserve">Wiley / Aquaculture Fish and Fisheries Journal (Abelti 2024)</t>
  </si>
  <si>
    <t xml:space="preserve">https://onlinelibrary.wiley.com/doi/10.1002/aff2.168</t>
  </si>
  <si>
    <t xml:space="preserve">Fish and Seafood (artisanal)</t>
  </si>
  <si>
    <t xml:space="preserve">None / Rudimentary</t>
  </si>
  <si>
    <t xml:space="preserve">Sub-Saharan Africa — multiple countries</t>
  </si>
  <si>
    <t xml:space="preserve">Underdeveloped cold chains; 25%+ of fish harvest lost post-harvest; 35% lost at post-harvest level; quality losses 20-40%</t>
  </si>
  <si>
    <t xml:space="preserve">25-35% of fish harvest</t>
  </si>
  <si>
    <t xml:space="preserve">600 million people in SSA lack regular electricity access</t>
  </si>
  <si>
    <t xml:space="preserve">ALZ-2023-001</t>
  </si>
  <si>
    <t xml:space="preserve">2023-10-01</t>
  </si>
  <si>
    <t xml:space="preserve">Allianz Safety and Shipping Review 2023</t>
  </si>
  <si>
    <t xml:space="preserve">Insurance Industry Report</t>
  </si>
  <si>
    <t xml:space="preserve">https://www.seatrade-maritime.com/containers/dangerous-cargoes-and-container-ship-fires-back-in-the-spotlight</t>
  </si>
  <si>
    <t xml:space="preserve">Mixed cargo (reefer containers involved)</t>
  </si>
  <si>
    <t xml:space="preserve">Mixed</t>
  </si>
  <si>
    <t xml:space="preserve">Mixed (including reefer)</t>
  </si>
  <si>
    <t xml:space="preserve">Global — at sea</t>
  </si>
  <si>
    <t xml:space="preserve">Container fires; 64 fires on containerships in 5 years; one fire every 9 days in 2023; often originating with hazardous or misdeclared cargo including reefer containers</t>
  </si>
  <si>
    <t xml:space="preserve">Fire / Container Casualty</t>
  </si>
  <si>
    <t xml:space="preserve">64 fires over 5 years</t>
  </si>
  <si>
    <t xml:space="preserve">New SOLAS mandatory container loss reporting effective Jan 2026</t>
  </si>
  <si>
    <t xml:space="preserve">TT Club estimates serious fire every 60 days</t>
  </si>
  <si>
    <t xml:space="preserve">ACAD-KOR-2025-001</t>
  </si>
  <si>
    <t xml:space="preserve">2024-12-31</t>
  </si>
  <si>
    <t xml:space="preserve">2025-02-15</t>
  </si>
  <si>
    <t xml:space="preserve">Nature Scientific Reports</t>
  </si>
  <si>
    <t xml:space="preserve">https://www.nature.com/articles/s41598-025-13156-3</t>
  </si>
  <si>
    <t xml:space="preserve">KR</t>
  </si>
  <si>
    <t xml:space="preserve">Road/Distribution</t>
  </si>
  <si>
    <t xml:space="preserve">South Korea — transport/distribution chain</t>
  </si>
  <si>
    <t xml:space="preserve">Transport / Distribution</t>
  </si>
  <si>
    <t xml:space="preserve">Cold chain losses in transport/distribution; 20.8% loss rate overall, 35% for fruits</t>
  </si>
  <si>
    <t xml:space="preserve">35% of fruit in transport</t>
  </si>
  <si>
    <t xml:space="preserve">IND-EA-2025-001</t>
  </si>
  <si>
    <t xml:space="preserve">2025-08-19</t>
  </si>
  <si>
    <t xml:space="preserve">Maersk Insights / East Africa Agricultural Logistics</t>
  </si>
  <si>
    <t xml:space="preserve">https://www.maersk.com/insights/growth/2025/08/19/agricultural-logistics-in-east-africa</t>
  </si>
  <si>
    <t xml:space="preserve">Agricultural exports (horticultural products)</t>
  </si>
  <si>
    <t xml:space="preserve">Dar es Salaam</t>
  </si>
  <si>
    <t xml:space="preserve">East Africa — inland to port cold chain</t>
  </si>
  <si>
    <t xml:space="preserve">Inland Transport / Port Handling</t>
  </si>
  <si>
    <t xml:space="preserve">Unreliable inland cold chain networks despite port upgrades; timing and inspection scheduling weaknesses</t>
  </si>
  <si>
    <t xml:space="preserve">Infrastructure Gap / Logistics Delay</t>
  </si>
  <si>
    <t xml:space="preserve">Dar es Salaam and Mtwara ports upgraded refrigerated storage</t>
  </si>
  <si>
    <t xml:space="preserve">ACAD-TUR-2022-001</t>
  </si>
  <si>
    <t xml:space="preserve">2020-01-15</t>
  </si>
  <si>
    <t xml:space="preserve">PMC / Food Safety in MENA (peer-reviewed)</t>
  </si>
  <si>
    <t xml:space="preserve">https://pmc.ncbi.nlm.nih.gov/articles/PMC6982137/</t>
  </si>
  <si>
    <t xml:space="preserve">TR</t>
  </si>
  <si>
    <t xml:space="preserve">Milk, Meat, Vegetable Oils</t>
  </si>
  <si>
    <t xml:space="preserve">Dairy and Meat</t>
  </si>
  <si>
    <t xml:space="preserve">Road</t>
  </si>
  <si>
    <t xml:space="preserve">Turkey — domestic supply chain</t>
  </si>
  <si>
    <t xml:space="preserve">Over 4000 food fraud incidents (7000+ adulteration cases) documented 2012-2022 including temperature abuse of perishables</t>
  </si>
  <si>
    <t xml:space="preserve">Quality Control Failure / Fraud</t>
  </si>
  <si>
    <t xml:space="preserve">4000+ incidents</t>
  </si>
  <si>
    <t xml:space="preserve">IND-STR-2022-001</t>
  </si>
  <si>
    <t xml:space="preserve">2022-06-15</t>
  </si>
  <si>
    <t xml:space="preserve">2022-10-01</t>
  </si>
  <si>
    <t xml:space="preserve">IDENTEC Solutions / Cold Chain Industry Report</t>
  </si>
  <si>
    <t xml:space="preserve">https://www.identecsolutions.com/news/container-damage-claim-and-the-cold-chain</t>
  </si>
  <si>
    <t xml:space="preserve">Strawberries</t>
  </si>
  <si>
    <t xml:space="preserve">0 to 2</t>
  </si>
  <si>
    <t xml:space="preserve">COVID-19 spike in reefer container damage claims due to global transport delays; equipment failures and seal deterioration</t>
  </si>
  <si>
    <t xml:space="preserve">Equipment Failure / Logistics Delay</t>
  </si>
  <si>
    <t xml:space="preserve">Manual (1-2 checks per shift)</t>
  </si>
  <si>
    <t xml:space="preserve">FDA-IND-2024-001</t>
  </si>
  <si>
    <t xml:space="preserve">2025-01-15</t>
  </si>
  <si>
    <t xml:space="preserve">US FDA / Southern Shrimp Alliance</t>
  </si>
  <si>
    <t xml:space="preserve">https://shrimpalliance.com/food-regulatory-authorities-in-the-eu-japan-and-the-united-states-once-again-confirm-that-india-and-vietnam-continue-to-use-banned-antibiotics-in-their-shrimp-aquaculture/</t>
  </si>
  <si>
    <t xml:space="preserve">US border inspection</t>
  </si>
  <si>
    <t xml:space="preserve">FDA refusals hit 9-year high: 81 entry lines refused, 31 from India, 18 from Vietnam; antibiotic contamination + cold chain concerns</t>
  </si>
  <si>
    <t xml:space="preserve">Quality Control Failure</t>
  </si>
  <si>
    <t xml:space="preserve">81 entry lines refused</t>
  </si>
  <si>
    <t xml:space="preserve">Intensified FDA testing</t>
  </si>
  <si>
    <t xml:space="preserve">9-year high in FDA refusals for antibiotic-tainted shrimp</t>
  </si>
  <si>
    <t xml:space="preserve">Economic Loss Analysis</t>
  </si>
  <si>
    <t xml:space="preserve">Incident ID</t>
  </si>
  <si>
    <t xml:space="preserve">Product</t>
  </si>
  <si>
    <t xml:space="preserve">Loss (USD)</t>
  </si>
  <si>
    <t xml:space="preserve">Total:</t>
  </si>
  <si>
    <t xml:space="preserve">Average:</t>
  </si>
  <si>
    <t xml:space="preserve">Max:</t>
  </si>
  <si>
    <t xml:space="preserve">Cold Chain Risk Intelligence Summary</t>
  </si>
  <si>
    <t xml:space="preserve">High-Risk Maritime Routes &amp; Regions</t>
  </si>
  <si>
    <t xml:space="preserve">Route/Region</t>
  </si>
  <si>
    <t xml:space="preserve">Primary Risk</t>
  </si>
  <si>
    <t xml:space="preserve">Risk Level</t>
  </si>
  <si>
    <t xml:space="preserve">Evidence Source</t>
  </si>
  <si>
    <t xml:space="preserve">Trans-Pacific (China-USA)</t>
  </si>
  <si>
    <t xml:space="preserve">Container loss, severe weather</t>
  </si>
  <si>
    <t xml:space="preserve">Maersk Eindhoven 2021</t>
  </si>
  <si>
    <t xml:space="preserve">Red Sea / Suez Canal</t>
  </si>
  <si>
    <t xml:space="preserve">Geopolitical disruption, +10-14 day transit</t>
  </si>
  <si>
    <t xml:space="preserve">Critical</t>
  </si>
  <si>
    <t xml:space="preserve">Houthi attacks 2024</t>
  </si>
  <si>
    <t xml:space="preserve">East Africa inland-to-port</t>
  </si>
  <si>
    <t xml:space="preserve">Unreliable cold chain networks</t>
  </si>
  <si>
    <t xml:space="preserve">Maersk/FAO Reports</t>
  </si>
  <si>
    <t xml:space="preserve">South Asia to EU</t>
  </si>
  <si>
    <t xml:space="preserve">High seafood rejection at EU borders</t>
  </si>
  <si>
    <t xml:space="preserve">RASFF Database</t>
  </si>
  <si>
    <t xml:space="preserve">West Africa domestic</t>
  </si>
  <si>
    <t xml:space="preserve">Near-total absence of cold chain</t>
  </si>
  <si>
    <t xml:space="preserve">FAO/World Bank</t>
  </si>
  <si>
    <t xml:space="preserve">MENA region</t>
  </si>
  <si>
    <t xml:space="preserve">15% food loss post-harvest to retail</t>
  </si>
  <si>
    <t xml:space="preserve">FAO/Logistics ME</t>
  </si>
  <si>
    <t xml:space="preserve">Systemic Risk Patterns Identified</t>
  </si>
  <si>
    <t xml:space="preserve">Pattern</t>
  </si>
  <si>
    <t xml:space="preserve">Description</t>
  </si>
  <si>
    <t xml:space="preserve">Evidence</t>
  </si>
  <si>
    <t xml:space="preserve">Category</t>
  </si>
  <si>
    <t xml:space="preserve">Developing countries lack basic cold chain</t>
  </si>
  <si>
    <t xml:space="preserve">FAO/UNEP 2022</t>
  </si>
  <si>
    <t xml:space="preserve">Structural</t>
  </si>
  <si>
    <t xml:space="preserve">Equipment Misuse</t>
  </si>
  <si>
    <t xml:space="preserve">Reefer containers used as dry containers</t>
  </si>
  <si>
    <t xml:space="preserve">China MSA (YM Mobility)</t>
  </si>
  <si>
    <t xml:space="preserve">Operational</t>
  </si>
  <si>
    <t xml:space="preserve">Temperature Abuse at Loading</t>
  </si>
  <si>
    <t xml:space="preserve">Cargo loaded above set-point temperature</t>
  </si>
  <si>
    <t xml:space="preserve">Britannia P&amp;I</t>
  </si>
  <si>
    <t xml:space="preserve">Power Supply Failures</t>
  </si>
  <si>
    <t xml:space="preserve">Untimely plugging of reefers at port</t>
  </si>
  <si>
    <t xml:space="preserve">P&amp;I Clubs</t>
  </si>
  <si>
    <t xml:space="preserve">Geopolitical Disruption</t>
  </si>
  <si>
    <t xml:space="preserve">Red Sea conflict extending transit</t>
  </si>
  <si>
    <t xml:space="preserve">DHL/Seatrade</t>
  </si>
  <si>
    <t xml:space="preserve">External</t>
  </si>
  <si>
    <t xml:space="preserve">Pandemic Delays</t>
  </si>
  <si>
    <t xml:space="preserve">Port congestion → 270% reefer claim surge</t>
  </si>
  <si>
    <t xml:space="preserve">Swedish Club</t>
  </si>
  <si>
    <t xml:space="preserve">Electricity Access</t>
  </si>
  <si>
    <t xml:space="preserve">600M+ in SSA without regular electricity</t>
  </si>
  <si>
    <t xml:space="preserve">World Bank/FAO</t>
  </si>
  <si>
    <t xml:space="preserve">Early Warning Signals</t>
  </si>
  <si>
    <t xml:space="preserve">Signal</t>
  </si>
  <si>
    <t xml:space="preserve">Risk Implication</t>
  </si>
  <si>
    <t xml:space="preserve">Source</t>
  </si>
  <si>
    <t xml:space="preserve">Port delay + high ambient temp</t>
  </si>
  <si>
    <t xml:space="preserve">Elevated spoilage risk</t>
  </si>
  <si>
    <t xml:space="preserve">YM Mobility, P&amp;I data</t>
  </si>
  <si>
    <t xml:space="preserve">Manual monitoring (1-2 checks/shift)</t>
  </si>
  <si>
    <t xml:space="preserve">Only 46% detection vs 97% continuous</t>
  </si>
  <si>
    <t xml:space="preserve">Food Control 2023</t>
  </si>
  <si>
    <t xml:space="preserve">Celsius/Fahrenheit confusion</t>
  </si>
  <si>
    <t xml:space="preserve">Reefer temperature misconfiguration</t>
  </si>
  <si>
    <t xml:space="preserve">Weber Gallagher LLP</t>
  </si>
  <si>
    <t xml:space="preserve">Equipment age &gt;10 years</t>
  </si>
  <si>
    <t xml:space="preserve">50% insulative value loss</t>
  </si>
  <si>
    <t xml:space="preserve">Industry Reports</t>
  </si>
  <si>
    <t xml:space="preserve">Extended transit (rerouting)</t>
  </si>
  <si>
    <t xml:space="preserve">Perishable shelf-life exceeded</t>
  </si>
  <si>
    <t xml:space="preserve">Red Sea 2024</t>
  </si>
  <si>
    <t xml:space="preserve">Dataset Methodology &amp; Data Dictionary</t>
  </si>
  <si>
    <t xml:space="preserve">Data Collection Methodology</t>
  </si>
  <si>
    <t xml:space="preserve">Collection Strategy</t>
  </si>
  <si>
    <t xml:space="preserve">Multi-layered: API queries → Document retrieval → NER/Pattern extraction</t>
  </si>
  <si>
    <t xml:space="preserve">Sources Used</t>
  </si>
  <si>
    <t xml:space="preserve">FAO, UNEP, World Bank, Britannia P&amp;I, Swedish Club, EU RASFF, China MSA, FDA, academic journals</t>
  </si>
  <si>
    <t xml:space="preserve">Time Window</t>
  </si>
  <si>
    <t xml:space="preserve">2016-2026 (primary focus 2020-2026)</t>
  </si>
  <si>
    <t xml:space="preserve">Geographic Scope</t>
  </si>
  <si>
    <t xml:space="preserve">Global</t>
  </si>
  <si>
    <t xml:space="preserve">Inclusion Criteria</t>
  </si>
  <si>
    <t xml:space="preserve">Cold chain only; confirmed/documented; contains product type, location, failure cause</t>
  </si>
  <si>
    <t xml:space="preserve">Exclusion Criteria</t>
  </si>
  <si>
    <t xml:space="preserve">Non-refrigerated; duplicate; unverified; blogs/forums</t>
  </si>
  <si>
    <t xml:space="preserve">Confidence Scoring</t>
  </si>
  <si>
    <t xml:space="preserve">High = official investigation; Medium = academic; Low = indirect but credible</t>
  </si>
  <si>
    <t xml:space="preserve">Missing Data Policy</t>
  </si>
  <si>
    <t xml:space="preserve">Fields left empty — NO fabrication of data</t>
  </si>
  <si>
    <t xml:space="preserve">Deduplication</t>
  </si>
  <si>
    <t xml:space="preserve">Composite key: Incident_Date + Product + Location</t>
  </si>
  <si>
    <t xml:space="preserve">Normalization</t>
  </si>
  <si>
    <t xml:space="preserve">Temperature → Celsius; Currency → USD; Dates → ISO (YYYY-MM-DD)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</si>
</sst>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3E50"/>
      <name val="Arial"/>
      <family val="0"/>
      <charset val="1"/>
    </font>
    <font>
      <i val="true"/>
      <sz val="10"/>
      <color rgb="FF7F8C8D"/>
      <name val="Arial"/>
      <family val="0"/>
      <charset val="1"/>
    </font>
    <font>
      <sz val="10"/>
      <color rgb="FF7F8C8D"/>
      <name val="Arial"/>
      <family val="0"/>
      <charset val="1"/>
    </font>
    <font>
      <b val="true"/>
      <sz val="20"/>
      <color rgb="FFE74C3C"/>
      <name val="Arial"/>
      <family val="0"/>
      <charset val="1"/>
    </font>
    <font>
      <b val="true"/>
      <sz val="12"/>
      <color rgb="FF34495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  <font>
      <b val="true"/>
      <sz val="11"/>
      <color rgb="FFE74C3C"/>
      <name val="Arial"/>
      <family val="0"/>
      <charset val="1"/>
    </font>
    <font>
      <b val="true"/>
      <sz val="11"/>
      <color rgb="FFD4AC0D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34495E"/>
      </patternFill>
    </fill>
    <fill>
      <patternFill patternType="solid">
        <fgColor rgb="FFECF0F1"/>
        <bgColor rgb="FFF9F9F9"/>
      </patternFill>
    </fill>
    <fill>
      <patternFill patternType="solid">
        <fgColor rgb="FFD5F5E3"/>
        <bgColor rgb="FFECF0F1"/>
      </patternFill>
    </fill>
    <fill>
      <patternFill patternType="solid">
        <fgColor rgb="FFFEF9E7"/>
        <bgColor rgb="FFF9F9F9"/>
      </patternFill>
    </fill>
    <fill>
      <patternFill patternType="solid">
        <fgColor rgb="FFFADBD8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C3E50"/>
          <bgColor rgb="FF000000"/>
        </patternFill>
      </fill>
    </dxf>
    <dxf>
      <fill>
        <patternFill patternType="solid">
          <fgColor rgb="FFECF0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EF9E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299B0"/>
      <rgbColor rgb="FFBDC3C7"/>
      <rgbColor rgb="FF878787"/>
      <rgbColor rgb="FF93A9CE"/>
      <rgbColor rgb="FFAB4744"/>
      <rgbColor rgb="FFFEF9E7"/>
      <rgbColor rgb="FFECF0F1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9F9F9"/>
      <rgbColor rgb="FFD5F5E3"/>
      <rgbColor rgb="FFFFFF99"/>
      <rgbColor rgb="FF99CCFF"/>
      <rgbColor rgb="FFD09493"/>
      <rgbColor rgb="FFCC99FF"/>
      <rgbColor rgb="FFFADBD8"/>
      <rgbColor rgb="FF4672A8"/>
      <rgbColor rgb="FF3498DB"/>
      <rgbColor rgb="FF99CC00"/>
      <rgbColor rgb="FFD4AC0D"/>
      <rgbColor rgb="FFF39C12"/>
      <rgbColor rgb="FFE74C3C"/>
      <rgbColor rgb="FF725990"/>
      <rgbColor rgb="FF7F8C8D"/>
      <rgbColor rgb="FF003366"/>
      <rgbColor rgb="FF27AE60"/>
      <rgbColor rgb="FF003300"/>
      <rgbColor rgb="FF333300"/>
      <rgbColor rgb="FFC0392B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Top Failure Types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Dashboard!$A$10:$A$19</c:f>
              <c:strCache>
                <c:ptCount val="10"/>
                <c:pt idx="0">
                  <c:v>Infrastructure Gap</c:v>
                </c:pt>
                <c:pt idx="1">
                  <c:v>Temperature Control Failure</c:v>
                </c:pt>
                <c:pt idx="2">
                  <c:v>Equipment Malfunction</c:v>
                </c:pt>
                <c:pt idx="3">
                  <c:v>Logistics Delay (Pandemic)</c:v>
                </c:pt>
                <c:pt idx="4">
                  <c:v>Power Supply Failure</c:v>
                </c:pt>
                <c:pt idx="5">
                  <c:v>Pre-cooling Failure</c:v>
                </c:pt>
                <c:pt idx="6">
                  <c:v>Logistics Delay</c:v>
                </c:pt>
                <c:pt idx="7">
                  <c:v>Container Misuse / Thermal Runaway</c:v>
                </c:pt>
                <c:pt idx="8">
                  <c:v>Demand Collapse / Cold Storage Overflow</c:v>
                </c:pt>
                <c:pt idx="9">
                  <c:v>Infrastructure Gap / Handling Failure</c:v>
                </c:pt>
              </c:strCache>
            </c:strRef>
          </c:cat>
          <c:val>
            <c:numRef>
              <c:f>Dashboard!$B$10:$B$19</c:f>
              <c:numCache>
                <c:formatCode>General</c:formatCode>
                <c:ptCount val="10"/>
                <c:pt idx="0">
                  <c:v>8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gapWidth val="150"/>
        <c:overlap val="0"/>
        <c:axId val="89146112"/>
        <c:axId val="11787191"/>
      </c:barChart>
      <c:catAx>
        <c:axId val="8914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787191"/>
        <c:crosses val="autoZero"/>
        <c:auto val="1"/>
        <c:lblAlgn val="ctr"/>
        <c:lblOffset val="100"/>
        <c:noMultiLvlLbl val="0"/>
      </c:catAx>
      <c:valAx>
        <c:axId val="117871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14611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Product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</c:dLbls>
          <c:cat>
            <c:strRef>
              <c:f>Dashboard!$A$24:$A$31</c:f>
              <c:strCache>
                <c:ptCount val="8"/>
                <c:pt idx="0">
                  <c:v>Seafood</c:v>
                </c:pt>
                <c:pt idx="1">
                  <c:v>Mixed Perishables</c:v>
                </c:pt>
                <c:pt idx="2">
                  <c:v>Fruits</c:v>
                </c:pt>
                <c:pt idx="3">
                  <c:v>Freshwater Fish</c:v>
                </c:pt>
                <c:pt idx="4">
                  <c:v>Fruits and Vegetables</c:v>
                </c:pt>
                <c:pt idx="5">
                  <c:v>Chemical (misuse of reefer container)</c:v>
                </c:pt>
                <c:pt idx="6">
                  <c:v>Meat and Seafood</c:v>
                </c:pt>
                <c:pt idx="7">
                  <c:v>Mixed (including perishables)</c:v>
                </c:pt>
              </c:strCache>
            </c:strRef>
          </c:cat>
          <c:val>
            <c:numRef>
              <c:f>Dashboard!$B$24:$B$31</c:f>
              <c:numCache>
                <c:formatCode>General</c:formatCode>
                <c:ptCount val="8"/>
                <c:pt idx="0">
                  <c:v>11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Economic Losses by Incident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'Economic Analysis'!D3</c:f>
              <c:strCache>
                <c:ptCount val="1"/>
                <c:pt idx="0">
                  <c:v>Loss (USD)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'Economic Analysis'!$A$4:$A$14</c:f>
              <c:strCache>
                <c:ptCount val="11"/>
                <c:pt idx="0">
                  <c:v>FAO-2022-001</c:v>
                </c:pt>
                <c:pt idx="1">
                  <c:v>WB-NGA-2023-001</c:v>
                </c:pt>
                <c:pt idx="2">
                  <c:v>IMO-2024-001</c:v>
                </c:pt>
                <c:pt idx="3">
                  <c:v>US-2023-001</c:v>
                </c:pt>
                <c:pt idx="4">
                  <c:v>BPI-2021-006</c:v>
                </c:pt>
                <c:pt idx="5">
                  <c:v>BPI-2021-001</c:v>
                </c:pt>
                <c:pt idx="6">
                  <c:v>BPI-2021-002</c:v>
                </c:pt>
                <c:pt idx="7">
                  <c:v>US-2022-001</c:v>
                </c:pt>
                <c:pt idx="8">
                  <c:v>BPI-2021-003</c:v>
                </c:pt>
                <c:pt idx="9">
                  <c:v>BPI-2021-004</c:v>
                </c:pt>
                <c:pt idx="10">
                  <c:v>BPI-2021-005</c:v>
                </c:pt>
              </c:strCache>
            </c:strRef>
          </c:cat>
          <c:val>
            <c:numRef>
              <c:f>'Economic Analysis'!$D$4:$D$14</c:f>
              <c:numCache>
                <c:formatCode>\$#,##0</c:formatCode>
                <c:ptCount val="11"/>
                <c:pt idx="0">
                  <c:v>936000000000</c:v>
                </c:pt>
                <c:pt idx="1">
                  <c:v>4300000000</c:v>
                </c:pt>
                <c:pt idx="2">
                  <c:v>13000000</c:v>
                </c:pt>
                <c:pt idx="3">
                  <c:v>3200000</c:v>
                </c:pt>
                <c:pt idx="4">
                  <c:v>550000</c:v>
                </c:pt>
                <c:pt idx="5">
                  <c:v>500000</c:v>
                </c:pt>
                <c:pt idx="6">
                  <c:v>335000</c:v>
                </c:pt>
                <c:pt idx="7">
                  <c:v>280000</c:v>
                </c:pt>
                <c:pt idx="8">
                  <c:v>228000</c:v>
                </c:pt>
                <c:pt idx="9">
                  <c:v>92000</c:v>
                </c:pt>
                <c:pt idx="10">
                  <c:v>58000</c:v>
                </c:pt>
              </c:numCache>
            </c:numRef>
          </c:val>
        </c:ser>
        <c:gapWidth val="150"/>
        <c:overlap val="0"/>
        <c:axId val="44866392"/>
        <c:axId val="62781181"/>
      </c:barChart>
      <c:catAx>
        <c:axId val="44866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781181"/>
        <c:crosses val="autoZero"/>
        <c:auto val="1"/>
        <c:lblAlgn val="ctr"/>
        <c:lblOffset val="100"/>
        <c:noMultiLvlLbl val="0"/>
      </c:catAx>
      <c:valAx>
        <c:axId val="627811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8663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6</xdr:row>
      <xdr:rowOff>70200</xdr:rowOff>
    </xdr:from>
    <xdr:to>
      <xdr:col>11</xdr:col>
      <xdr:colOff>25200</xdr:colOff>
      <xdr:row>29</xdr:row>
      <xdr:rowOff>8640</xdr:rowOff>
    </xdr:to>
    <xdr:graphicFrame>
      <xdr:nvGraphicFramePr>
        <xdr:cNvPr id="0" name="Chart 1"/>
        <xdr:cNvGraphicFramePr/>
      </xdr:nvGraphicFramePr>
      <xdr:xfrm>
        <a:off x="4651920" y="16477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20</xdr:row>
      <xdr:rowOff>70560</xdr:rowOff>
    </xdr:from>
    <xdr:to>
      <xdr:col>11</xdr:col>
      <xdr:colOff>25200</xdr:colOff>
      <xdr:row>43</xdr:row>
      <xdr:rowOff>8640</xdr:rowOff>
    </xdr:to>
    <xdr:graphicFrame>
      <xdr:nvGraphicFramePr>
        <xdr:cNvPr id="1" name="Chart 2"/>
        <xdr:cNvGraphicFramePr/>
      </xdr:nvGraphicFramePr>
      <xdr:xfrm>
        <a:off x="4651920" y="43149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130680</xdr:rowOff>
    </xdr:from>
    <xdr:to>
      <xdr:col>17</xdr:col>
      <xdr:colOff>362520</xdr:colOff>
      <xdr:row>28</xdr:row>
      <xdr:rowOff>27000</xdr:rowOff>
    </xdr:to>
    <xdr:graphicFrame>
      <xdr:nvGraphicFramePr>
        <xdr:cNvPr id="2" name="Chart 1"/>
        <xdr:cNvGraphicFramePr/>
      </xdr:nvGraphicFramePr>
      <xdr:xfrm>
        <a:off x="7753320" y="38088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13" min="3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C4" s="3" t="s">
        <v>3</v>
      </c>
      <c r="E4" s="3" t="s">
        <v>4</v>
      </c>
      <c r="G4" s="3" t="s">
        <v>5</v>
      </c>
    </row>
    <row r="5" customFormat="false" ht="24.45" hidden="false" customHeight="false" outlineLevel="0" collapsed="false">
      <c r="A5" s="4" t="s">
        <v>6</v>
      </c>
      <c r="C5" s="4" t="s">
        <v>7</v>
      </c>
      <c r="E5" s="4" t="s">
        <v>8</v>
      </c>
      <c r="G5" s="4" t="s">
        <v>9</v>
      </c>
    </row>
    <row r="8" customFormat="false" ht="15" hidden="false" customHeight="false" outlineLevel="0" collapsed="false">
      <c r="A8" s="5" t="s">
        <v>10</v>
      </c>
      <c r="B8" s="5"/>
    </row>
    <row r="9" customFormat="false" ht="15" hidden="false" customHeight="false" outlineLevel="0" collapsed="false">
      <c r="A9" s="6" t="s">
        <v>11</v>
      </c>
      <c r="B9" s="6" t="s">
        <v>12</v>
      </c>
    </row>
    <row r="10" customFormat="false" ht="15" hidden="false" customHeight="false" outlineLevel="0" collapsed="false">
      <c r="A10" s="7" t="s">
        <v>13</v>
      </c>
      <c r="B10" s="7" t="n">
        <v>8</v>
      </c>
    </row>
    <row r="11" customFormat="false" ht="15" hidden="false" customHeight="false" outlineLevel="0" collapsed="false">
      <c r="A11" s="8" t="s">
        <v>14</v>
      </c>
      <c r="B11" s="8" t="n">
        <v>5</v>
      </c>
    </row>
    <row r="12" customFormat="false" ht="15" hidden="false" customHeight="false" outlineLevel="0" collapsed="false">
      <c r="A12" s="7" t="s">
        <v>15</v>
      </c>
      <c r="B12" s="7" t="n">
        <v>3</v>
      </c>
    </row>
    <row r="13" customFormat="false" ht="15" hidden="false" customHeight="false" outlineLevel="0" collapsed="false">
      <c r="A13" s="8" t="s">
        <v>16</v>
      </c>
      <c r="B13" s="8" t="n">
        <v>2</v>
      </c>
    </row>
    <row r="14" customFormat="false" ht="15" hidden="false" customHeight="false" outlineLevel="0" collapsed="false">
      <c r="A14" s="7" t="s">
        <v>17</v>
      </c>
      <c r="B14" s="7" t="n">
        <v>1</v>
      </c>
    </row>
    <row r="15" customFormat="false" ht="15" hidden="false" customHeight="false" outlineLevel="0" collapsed="false">
      <c r="A15" s="8" t="s">
        <v>18</v>
      </c>
      <c r="B15" s="8" t="n">
        <v>1</v>
      </c>
    </row>
    <row r="16" customFormat="false" ht="15" hidden="false" customHeight="false" outlineLevel="0" collapsed="false">
      <c r="A16" s="7" t="s">
        <v>19</v>
      </c>
      <c r="B16" s="7" t="n">
        <v>1</v>
      </c>
    </row>
    <row r="17" customFormat="false" ht="15" hidden="false" customHeight="false" outlineLevel="0" collapsed="false">
      <c r="A17" s="8" t="s">
        <v>20</v>
      </c>
      <c r="B17" s="8" t="n">
        <v>1</v>
      </c>
    </row>
    <row r="18" customFormat="false" ht="15" hidden="false" customHeight="false" outlineLevel="0" collapsed="false">
      <c r="A18" s="7" t="s">
        <v>21</v>
      </c>
      <c r="B18" s="7" t="n">
        <v>1</v>
      </c>
    </row>
    <row r="19" customFormat="false" ht="15" hidden="false" customHeight="false" outlineLevel="0" collapsed="false">
      <c r="A19" s="8" t="s">
        <v>22</v>
      </c>
      <c r="B19" s="8" t="n">
        <v>1</v>
      </c>
    </row>
    <row r="22" customFormat="false" ht="15" hidden="false" customHeight="false" outlineLevel="0" collapsed="false">
      <c r="A22" s="5" t="s">
        <v>23</v>
      </c>
      <c r="B22" s="5"/>
    </row>
    <row r="23" customFormat="false" ht="15" hidden="false" customHeight="false" outlineLevel="0" collapsed="false">
      <c r="A23" s="6" t="s">
        <v>24</v>
      </c>
      <c r="B23" s="6" t="s">
        <v>12</v>
      </c>
    </row>
    <row r="24" customFormat="false" ht="15" hidden="false" customHeight="false" outlineLevel="0" collapsed="false">
      <c r="A24" s="8" t="s">
        <v>25</v>
      </c>
      <c r="B24" s="8" t="n">
        <v>11</v>
      </c>
    </row>
    <row r="25" customFormat="false" ht="15" hidden="false" customHeight="false" outlineLevel="0" collapsed="false">
      <c r="A25" s="8" t="s">
        <v>26</v>
      </c>
      <c r="B25" s="8" t="n">
        <v>6</v>
      </c>
    </row>
    <row r="26" customFormat="false" ht="15" hidden="false" customHeight="false" outlineLevel="0" collapsed="false">
      <c r="A26" s="8" t="s">
        <v>27</v>
      </c>
      <c r="B26" s="8" t="n">
        <v>4</v>
      </c>
    </row>
    <row r="27" customFormat="false" ht="15" hidden="false" customHeight="false" outlineLevel="0" collapsed="false">
      <c r="A27" s="8" t="s">
        <v>28</v>
      </c>
      <c r="B27" s="8" t="n">
        <v>4</v>
      </c>
    </row>
    <row r="28" customFormat="false" ht="15" hidden="false" customHeight="false" outlineLevel="0" collapsed="false">
      <c r="A28" s="8" t="s">
        <v>29</v>
      </c>
      <c r="B28" s="8" t="n">
        <v>3</v>
      </c>
    </row>
    <row r="29" customFormat="false" ht="15" hidden="false" customHeight="false" outlineLevel="0" collapsed="false">
      <c r="A29" s="8" t="s">
        <v>30</v>
      </c>
      <c r="B29" s="8" t="n">
        <v>1</v>
      </c>
    </row>
    <row r="30" customFormat="false" ht="15" hidden="false" customHeight="false" outlineLevel="0" collapsed="false">
      <c r="A30" s="8" t="s">
        <v>31</v>
      </c>
      <c r="B30" s="8" t="n">
        <v>1</v>
      </c>
    </row>
    <row r="31" customFormat="false" ht="15" hidden="false" customHeight="false" outlineLevel="0" collapsed="false">
      <c r="A31" s="8" t="s">
        <v>32</v>
      </c>
      <c r="B31" s="8" t="n">
        <v>1</v>
      </c>
    </row>
  </sheetData>
  <mergeCells count="4">
    <mergeCell ref="A1:H1"/>
    <mergeCell ref="A2:H2"/>
    <mergeCell ref="A8:B8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A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3" min="1" style="0" width="18"/>
  </cols>
  <sheetData>
    <row r="1" customFormat="false" ht="39.55" hidden="false" customHeight="false" outlineLevel="0" collapsed="false">
      <c r="A1" s="9" t="s">
        <v>33</v>
      </c>
      <c r="B1" s="9" t="s">
        <v>34</v>
      </c>
      <c r="C1" s="9" t="s">
        <v>35</v>
      </c>
      <c r="D1" s="9" t="s">
        <v>36</v>
      </c>
      <c r="E1" s="9" t="s">
        <v>37</v>
      </c>
      <c r="F1" s="9" t="s">
        <v>38</v>
      </c>
      <c r="G1" s="9" t="s">
        <v>39</v>
      </c>
      <c r="H1" s="9" t="s">
        <v>40</v>
      </c>
      <c r="I1" s="9" t="s">
        <v>41</v>
      </c>
      <c r="J1" s="9" t="s">
        <v>42</v>
      </c>
      <c r="K1" s="9" t="s">
        <v>43</v>
      </c>
      <c r="L1" s="9" t="s">
        <v>44</v>
      </c>
      <c r="M1" s="9" t="s">
        <v>45</v>
      </c>
      <c r="N1" s="9" t="s">
        <v>46</v>
      </c>
      <c r="O1" s="9" t="s">
        <v>47</v>
      </c>
      <c r="P1" s="9" t="s">
        <v>48</v>
      </c>
      <c r="Q1" s="9" t="s">
        <v>49</v>
      </c>
      <c r="R1" s="9" t="s">
        <v>50</v>
      </c>
      <c r="S1" s="9" t="s">
        <v>51</v>
      </c>
      <c r="T1" s="9" t="s">
        <v>52</v>
      </c>
      <c r="U1" s="9" t="s">
        <v>53</v>
      </c>
      <c r="V1" s="9" t="s">
        <v>54</v>
      </c>
      <c r="W1" s="9" t="s">
        <v>55</v>
      </c>
      <c r="X1" s="9" t="s">
        <v>56</v>
      </c>
      <c r="Y1" s="9" t="s">
        <v>57</v>
      </c>
      <c r="Z1" s="9" t="s">
        <v>58</v>
      </c>
      <c r="AA1" s="9" t="s">
        <v>59</v>
      </c>
      <c r="AB1" s="9" t="s">
        <v>60</v>
      </c>
      <c r="AC1" s="9" t="s">
        <v>61</v>
      </c>
      <c r="AD1" s="9" t="s">
        <v>62</v>
      </c>
      <c r="AE1" s="9" t="s">
        <v>63</v>
      </c>
      <c r="AF1" s="9" t="s">
        <v>64</v>
      </c>
      <c r="AG1" s="9" t="s">
        <v>65</v>
      </c>
    </row>
    <row r="2" customFormat="false" ht="15" hidden="false" customHeight="false" outlineLevel="0" collapsed="false">
      <c r="A2" s="7" t="s">
        <v>66</v>
      </c>
      <c r="B2" s="7" t="s">
        <v>67</v>
      </c>
      <c r="C2" s="7" t="s">
        <v>68</v>
      </c>
      <c r="D2" s="7" t="s">
        <v>69</v>
      </c>
      <c r="E2" s="7" t="s">
        <v>70</v>
      </c>
      <c r="F2" s="7" t="s">
        <v>71</v>
      </c>
      <c r="G2" s="7"/>
      <c r="H2" s="7"/>
      <c r="I2" s="7"/>
      <c r="J2" s="7" t="s">
        <v>72</v>
      </c>
      <c r="K2" s="7" t="s">
        <v>25</v>
      </c>
      <c r="L2" s="7" t="s">
        <v>73</v>
      </c>
      <c r="M2" s="7" t="s">
        <v>74</v>
      </c>
      <c r="N2" s="7"/>
      <c r="O2" s="7" t="s">
        <v>75</v>
      </c>
      <c r="P2" s="7" t="s">
        <v>76</v>
      </c>
      <c r="Q2" s="7" t="s">
        <v>77</v>
      </c>
      <c r="R2" s="7" t="s">
        <v>78</v>
      </c>
      <c r="S2" s="7"/>
      <c r="T2" s="7"/>
      <c r="U2" s="7" t="s">
        <v>79</v>
      </c>
      <c r="V2" s="7" t="s">
        <v>80</v>
      </c>
      <c r="W2" s="7" t="s">
        <v>81</v>
      </c>
      <c r="X2" s="7" t="s">
        <v>17</v>
      </c>
      <c r="Y2" s="7"/>
      <c r="Z2" s="7" t="s">
        <v>82</v>
      </c>
      <c r="AA2" s="7" t="n">
        <v>500000</v>
      </c>
      <c r="AB2" s="7"/>
      <c r="AC2" s="7"/>
      <c r="AD2" s="7" t="s">
        <v>83</v>
      </c>
      <c r="AE2" s="7" t="s">
        <v>84</v>
      </c>
      <c r="AF2" s="7"/>
      <c r="AG2" s="10" t="s">
        <v>85</v>
      </c>
    </row>
    <row r="3" customFormat="false" ht="15" hidden="false" customHeight="false" outlineLevel="0" collapsed="false">
      <c r="A3" s="8" t="s">
        <v>86</v>
      </c>
      <c r="B3" s="8" t="s">
        <v>87</v>
      </c>
      <c r="C3" s="8" t="s">
        <v>68</v>
      </c>
      <c r="D3" s="8" t="s">
        <v>69</v>
      </c>
      <c r="E3" s="8" t="s">
        <v>70</v>
      </c>
      <c r="F3" s="8" t="s">
        <v>71</v>
      </c>
      <c r="G3" s="8"/>
      <c r="H3" s="8"/>
      <c r="I3" s="8"/>
      <c r="J3" s="8" t="s">
        <v>88</v>
      </c>
      <c r="K3" s="8" t="s">
        <v>27</v>
      </c>
      <c r="L3" s="8" t="s">
        <v>89</v>
      </c>
      <c r="M3" s="8" t="s">
        <v>90</v>
      </c>
      <c r="N3" s="8"/>
      <c r="O3" s="8" t="s">
        <v>75</v>
      </c>
      <c r="P3" s="8" t="s">
        <v>76</v>
      </c>
      <c r="Q3" s="8" t="s">
        <v>77</v>
      </c>
      <c r="R3" s="8" t="s">
        <v>78</v>
      </c>
      <c r="S3" s="8"/>
      <c r="T3" s="8"/>
      <c r="U3" s="8" t="s">
        <v>91</v>
      </c>
      <c r="V3" s="8" t="s">
        <v>80</v>
      </c>
      <c r="W3" s="8" t="s">
        <v>92</v>
      </c>
      <c r="X3" s="8" t="s">
        <v>18</v>
      </c>
      <c r="Y3" s="8"/>
      <c r="Z3" s="8" t="s">
        <v>93</v>
      </c>
      <c r="AA3" s="8" t="n">
        <v>335000</v>
      </c>
      <c r="AB3" s="8"/>
      <c r="AC3" s="8"/>
      <c r="AD3" s="8"/>
      <c r="AE3" s="8" t="s">
        <v>84</v>
      </c>
      <c r="AF3" s="8"/>
      <c r="AG3" s="10" t="s">
        <v>85</v>
      </c>
    </row>
    <row r="4" customFormat="false" ht="15" hidden="false" customHeight="false" outlineLevel="0" collapsed="false">
      <c r="A4" s="7" t="s">
        <v>94</v>
      </c>
      <c r="B4" s="7" t="s">
        <v>95</v>
      </c>
      <c r="C4" s="7" t="s">
        <v>68</v>
      </c>
      <c r="D4" s="7" t="s">
        <v>69</v>
      </c>
      <c r="E4" s="7" t="s">
        <v>70</v>
      </c>
      <c r="F4" s="7" t="s">
        <v>71</v>
      </c>
      <c r="G4" s="7"/>
      <c r="H4" s="7"/>
      <c r="I4" s="7"/>
      <c r="J4" s="7" t="s">
        <v>96</v>
      </c>
      <c r="K4" s="7" t="s">
        <v>25</v>
      </c>
      <c r="L4" s="7" t="s">
        <v>73</v>
      </c>
      <c r="M4" s="7" t="s">
        <v>74</v>
      </c>
      <c r="N4" s="7"/>
      <c r="O4" s="7" t="s">
        <v>75</v>
      </c>
      <c r="P4" s="7" t="s">
        <v>76</v>
      </c>
      <c r="Q4" s="7" t="s">
        <v>77</v>
      </c>
      <c r="R4" s="7" t="s">
        <v>78</v>
      </c>
      <c r="S4" s="7"/>
      <c r="T4" s="7"/>
      <c r="U4" s="7" t="s">
        <v>91</v>
      </c>
      <c r="V4" s="7" t="s">
        <v>80</v>
      </c>
      <c r="W4" s="7" t="s">
        <v>97</v>
      </c>
      <c r="X4" s="7" t="s">
        <v>14</v>
      </c>
      <c r="Y4" s="7"/>
      <c r="Z4" s="7" t="s">
        <v>98</v>
      </c>
      <c r="AA4" s="7" t="n">
        <v>228000</v>
      </c>
      <c r="AB4" s="7"/>
      <c r="AC4" s="7"/>
      <c r="AD4" s="7"/>
      <c r="AE4" s="7" t="s">
        <v>84</v>
      </c>
      <c r="AF4" s="7"/>
      <c r="AG4" s="10" t="s">
        <v>85</v>
      </c>
    </row>
    <row r="5" customFormat="false" ht="15" hidden="false" customHeight="false" outlineLevel="0" collapsed="false">
      <c r="A5" s="8" t="s">
        <v>99</v>
      </c>
      <c r="B5" s="8" t="s">
        <v>100</v>
      </c>
      <c r="C5" s="8" t="s">
        <v>68</v>
      </c>
      <c r="D5" s="8" t="s">
        <v>69</v>
      </c>
      <c r="E5" s="8" t="s">
        <v>70</v>
      </c>
      <c r="F5" s="8" t="s">
        <v>71</v>
      </c>
      <c r="G5" s="8"/>
      <c r="H5" s="8"/>
      <c r="I5" s="8"/>
      <c r="J5" s="8" t="s">
        <v>101</v>
      </c>
      <c r="K5" s="8" t="s">
        <v>27</v>
      </c>
      <c r="L5" s="8" t="s">
        <v>89</v>
      </c>
      <c r="M5" s="8" t="s">
        <v>102</v>
      </c>
      <c r="N5" s="8"/>
      <c r="O5" s="8" t="s">
        <v>75</v>
      </c>
      <c r="P5" s="8" t="s">
        <v>76</v>
      </c>
      <c r="Q5" s="8" t="s">
        <v>77</v>
      </c>
      <c r="R5" s="8" t="s">
        <v>78</v>
      </c>
      <c r="S5" s="8"/>
      <c r="T5" s="8"/>
      <c r="U5" s="8" t="s">
        <v>91</v>
      </c>
      <c r="V5" s="8" t="s">
        <v>80</v>
      </c>
      <c r="W5" s="8" t="s">
        <v>103</v>
      </c>
      <c r="X5" s="8" t="s">
        <v>14</v>
      </c>
      <c r="Y5" s="8"/>
      <c r="Z5" s="8"/>
      <c r="AA5" s="8" t="n">
        <v>92000</v>
      </c>
      <c r="AB5" s="8"/>
      <c r="AC5" s="8"/>
      <c r="AD5" s="8"/>
      <c r="AE5" s="8" t="s">
        <v>84</v>
      </c>
      <c r="AF5" s="8"/>
      <c r="AG5" s="10" t="s">
        <v>85</v>
      </c>
    </row>
    <row r="6" customFormat="false" ht="15" hidden="false" customHeight="false" outlineLevel="0" collapsed="false">
      <c r="A6" s="7" t="s">
        <v>104</v>
      </c>
      <c r="B6" s="7" t="s">
        <v>105</v>
      </c>
      <c r="C6" s="7" t="s">
        <v>68</v>
      </c>
      <c r="D6" s="7" t="s">
        <v>69</v>
      </c>
      <c r="E6" s="7" t="s">
        <v>70</v>
      </c>
      <c r="F6" s="7" t="s">
        <v>71</v>
      </c>
      <c r="G6" s="7"/>
      <c r="H6" s="7"/>
      <c r="I6" s="7"/>
      <c r="J6" s="7" t="s">
        <v>106</v>
      </c>
      <c r="K6" s="7" t="s">
        <v>25</v>
      </c>
      <c r="L6" s="7" t="s">
        <v>73</v>
      </c>
      <c r="M6" s="7" t="s">
        <v>74</v>
      </c>
      <c r="N6" s="7"/>
      <c r="O6" s="7" t="s">
        <v>75</v>
      </c>
      <c r="P6" s="7" t="s">
        <v>76</v>
      </c>
      <c r="Q6" s="7" t="s">
        <v>77</v>
      </c>
      <c r="R6" s="7" t="s">
        <v>78</v>
      </c>
      <c r="S6" s="7"/>
      <c r="T6" s="7"/>
      <c r="U6" s="7" t="s">
        <v>79</v>
      </c>
      <c r="V6" s="7" t="s">
        <v>80</v>
      </c>
      <c r="W6" s="7" t="s">
        <v>107</v>
      </c>
      <c r="X6" s="7" t="s">
        <v>15</v>
      </c>
      <c r="Y6" s="7"/>
      <c r="Z6" s="7"/>
      <c r="AA6" s="7" t="n">
        <v>58000</v>
      </c>
      <c r="AB6" s="7"/>
      <c r="AC6" s="7"/>
      <c r="AD6" s="7"/>
      <c r="AE6" s="7" t="s">
        <v>84</v>
      </c>
      <c r="AF6" s="7"/>
      <c r="AG6" s="10" t="s">
        <v>85</v>
      </c>
    </row>
    <row r="7" customFormat="false" ht="15" hidden="false" customHeight="false" outlineLevel="0" collapsed="false">
      <c r="A7" s="8" t="s">
        <v>108</v>
      </c>
      <c r="B7" s="8" t="s">
        <v>109</v>
      </c>
      <c r="C7" s="8" t="s">
        <v>68</v>
      </c>
      <c r="D7" s="8" t="s">
        <v>69</v>
      </c>
      <c r="E7" s="8" t="s">
        <v>70</v>
      </c>
      <c r="F7" s="8" t="s">
        <v>71</v>
      </c>
      <c r="G7" s="8"/>
      <c r="H7" s="8"/>
      <c r="I7" s="8"/>
      <c r="J7" s="8" t="s">
        <v>110</v>
      </c>
      <c r="K7" s="8" t="s">
        <v>26</v>
      </c>
      <c r="L7" s="8"/>
      <c r="M7" s="8"/>
      <c r="N7" s="8"/>
      <c r="O7" s="8" t="s">
        <v>75</v>
      </c>
      <c r="P7" s="8" t="s">
        <v>76</v>
      </c>
      <c r="Q7" s="8" t="s">
        <v>77</v>
      </c>
      <c r="R7" s="8" t="s">
        <v>78</v>
      </c>
      <c r="S7" s="8"/>
      <c r="T7" s="8"/>
      <c r="U7" s="8" t="s">
        <v>111</v>
      </c>
      <c r="V7" s="8" t="s">
        <v>112</v>
      </c>
      <c r="W7" s="8" t="s">
        <v>113</v>
      </c>
      <c r="X7" s="8" t="s">
        <v>19</v>
      </c>
      <c r="Y7" s="8"/>
      <c r="Z7" s="8"/>
      <c r="AA7" s="8" t="n">
        <v>550000</v>
      </c>
      <c r="AB7" s="8"/>
      <c r="AC7" s="8"/>
      <c r="AD7" s="8"/>
      <c r="AE7" s="8" t="s">
        <v>84</v>
      </c>
      <c r="AF7" s="8"/>
      <c r="AG7" s="10" t="s">
        <v>85</v>
      </c>
    </row>
    <row r="8" customFormat="false" ht="15" hidden="false" customHeight="false" outlineLevel="0" collapsed="false">
      <c r="A8" s="7" t="s">
        <v>114</v>
      </c>
      <c r="B8" s="7" t="s">
        <v>115</v>
      </c>
      <c r="C8" s="7" t="s">
        <v>116</v>
      </c>
      <c r="D8" s="7" t="s">
        <v>117</v>
      </c>
      <c r="E8" s="7" t="s">
        <v>118</v>
      </c>
      <c r="F8" s="7" t="s">
        <v>119</v>
      </c>
      <c r="G8" s="7" t="s">
        <v>120</v>
      </c>
      <c r="H8" s="7" t="s">
        <v>120</v>
      </c>
      <c r="I8" s="7"/>
      <c r="J8" s="7" t="s">
        <v>121</v>
      </c>
      <c r="K8" s="7" t="s">
        <v>30</v>
      </c>
      <c r="L8" s="7"/>
      <c r="M8" s="7"/>
      <c r="N8" s="7" t="n">
        <v>40</v>
      </c>
      <c r="O8" s="7" t="s">
        <v>75</v>
      </c>
      <c r="P8" s="7" t="s">
        <v>76</v>
      </c>
      <c r="Q8" s="7" t="s">
        <v>122</v>
      </c>
      <c r="R8" s="7" t="s">
        <v>123</v>
      </c>
      <c r="S8" s="7" t="s">
        <v>124</v>
      </c>
      <c r="T8" s="7"/>
      <c r="U8" s="7" t="s">
        <v>125</v>
      </c>
      <c r="V8" s="7" t="s">
        <v>126</v>
      </c>
      <c r="W8" s="7" t="s">
        <v>127</v>
      </c>
      <c r="X8" s="7" t="s">
        <v>20</v>
      </c>
      <c r="Y8" s="7"/>
      <c r="Z8" s="7" t="s">
        <v>128</v>
      </c>
      <c r="AA8" s="7" t="n">
        <v>13000000</v>
      </c>
      <c r="AB8" s="7" t="s">
        <v>129</v>
      </c>
      <c r="AC8" s="7"/>
      <c r="AD8" s="7" t="s">
        <v>130</v>
      </c>
      <c r="AE8" s="7" t="s">
        <v>131</v>
      </c>
      <c r="AF8" s="7" t="s">
        <v>132</v>
      </c>
      <c r="AG8" s="10" t="s">
        <v>85</v>
      </c>
    </row>
    <row r="9" customFormat="false" ht="15" hidden="false" customHeight="false" outlineLevel="0" collapsed="false">
      <c r="A9" s="8" t="s">
        <v>133</v>
      </c>
      <c r="B9" s="8" t="s">
        <v>134</v>
      </c>
      <c r="C9" s="8" t="s">
        <v>135</v>
      </c>
      <c r="D9" s="8" t="s">
        <v>136</v>
      </c>
      <c r="E9" s="8" t="s">
        <v>70</v>
      </c>
      <c r="F9" s="8" t="s">
        <v>137</v>
      </c>
      <c r="G9" s="8"/>
      <c r="H9" s="8"/>
      <c r="I9" s="8"/>
      <c r="J9" s="8" t="s">
        <v>138</v>
      </c>
      <c r="K9" s="8" t="s">
        <v>29</v>
      </c>
      <c r="L9" s="8" t="s">
        <v>89</v>
      </c>
      <c r="M9" s="8" t="s">
        <v>90</v>
      </c>
      <c r="N9" s="8"/>
      <c r="O9" s="8" t="s">
        <v>75</v>
      </c>
      <c r="P9" s="8" t="s">
        <v>76</v>
      </c>
      <c r="Q9" s="8" t="s">
        <v>77</v>
      </c>
      <c r="R9" s="8" t="s">
        <v>78</v>
      </c>
      <c r="S9" s="8"/>
      <c r="T9" s="8"/>
      <c r="U9" s="8" t="s">
        <v>111</v>
      </c>
      <c r="V9" s="8" t="s">
        <v>139</v>
      </c>
      <c r="W9" s="8" t="s">
        <v>140</v>
      </c>
      <c r="X9" s="8" t="s">
        <v>16</v>
      </c>
      <c r="Y9" s="8"/>
      <c r="Z9" s="8"/>
      <c r="AA9" s="8"/>
      <c r="AB9" s="8"/>
      <c r="AC9" s="8"/>
      <c r="AD9" s="8"/>
      <c r="AE9" s="8" t="s">
        <v>141</v>
      </c>
      <c r="AF9" s="8"/>
      <c r="AG9" s="10" t="s">
        <v>85</v>
      </c>
    </row>
    <row r="10" customFormat="false" ht="15" hidden="false" customHeight="false" outlineLevel="0" collapsed="false">
      <c r="A10" s="7" t="s">
        <v>142</v>
      </c>
      <c r="B10" s="7" t="s">
        <v>143</v>
      </c>
      <c r="C10" s="7" t="s">
        <v>135</v>
      </c>
      <c r="D10" s="7" t="s">
        <v>136</v>
      </c>
      <c r="E10" s="7" t="s">
        <v>70</v>
      </c>
      <c r="F10" s="7" t="s">
        <v>137</v>
      </c>
      <c r="G10" s="7"/>
      <c r="H10" s="7"/>
      <c r="I10" s="7"/>
      <c r="J10" s="7" t="s">
        <v>144</v>
      </c>
      <c r="K10" s="7" t="s">
        <v>31</v>
      </c>
      <c r="L10" s="7" t="s">
        <v>73</v>
      </c>
      <c r="M10" s="7" t="s">
        <v>74</v>
      </c>
      <c r="N10" s="7"/>
      <c r="O10" s="7" t="s">
        <v>75</v>
      </c>
      <c r="P10" s="7" t="s">
        <v>76</v>
      </c>
      <c r="Q10" s="7" t="s">
        <v>77</v>
      </c>
      <c r="R10" s="7" t="s">
        <v>78</v>
      </c>
      <c r="S10" s="7"/>
      <c r="T10" s="7"/>
      <c r="U10" s="7" t="s">
        <v>145</v>
      </c>
      <c r="V10" s="7" t="s">
        <v>146</v>
      </c>
      <c r="W10" s="7" t="s">
        <v>147</v>
      </c>
      <c r="X10" s="7" t="s">
        <v>16</v>
      </c>
      <c r="Y10" s="7"/>
      <c r="Z10" s="7"/>
      <c r="AA10" s="7"/>
      <c r="AB10" s="7"/>
      <c r="AC10" s="7"/>
      <c r="AD10" s="7"/>
      <c r="AE10" s="7" t="s">
        <v>84</v>
      </c>
      <c r="AF10" s="7"/>
      <c r="AG10" s="10" t="s">
        <v>85</v>
      </c>
    </row>
    <row r="11" customFormat="false" ht="15" hidden="false" customHeight="false" outlineLevel="0" collapsed="false">
      <c r="A11" s="8" t="s">
        <v>148</v>
      </c>
      <c r="B11" s="8" t="s">
        <v>149</v>
      </c>
      <c r="C11" s="8" t="s">
        <v>150</v>
      </c>
      <c r="D11" s="8" t="s">
        <v>151</v>
      </c>
      <c r="E11" s="8" t="s">
        <v>152</v>
      </c>
      <c r="F11" s="8" t="s">
        <v>153</v>
      </c>
      <c r="G11" s="8" t="s">
        <v>154</v>
      </c>
      <c r="H11" s="8" t="s">
        <v>154</v>
      </c>
      <c r="I11" s="8" t="s">
        <v>155</v>
      </c>
      <c r="J11" s="8" t="s">
        <v>156</v>
      </c>
      <c r="K11" s="8" t="s">
        <v>25</v>
      </c>
      <c r="L11" s="8" t="s">
        <v>89</v>
      </c>
      <c r="M11" s="8" t="s">
        <v>90</v>
      </c>
      <c r="N11" s="8"/>
      <c r="O11" s="8" t="s">
        <v>157</v>
      </c>
      <c r="P11" s="8"/>
      <c r="Q11" s="8" t="s">
        <v>158</v>
      </c>
      <c r="R11" s="8"/>
      <c r="S11" s="8"/>
      <c r="T11" s="8"/>
      <c r="U11" s="8" t="s">
        <v>159</v>
      </c>
      <c r="V11" s="8" t="s">
        <v>160</v>
      </c>
      <c r="W11" s="8" t="s">
        <v>161</v>
      </c>
      <c r="X11" s="8" t="s">
        <v>14</v>
      </c>
      <c r="Y11" s="8"/>
      <c r="Z11" s="8"/>
      <c r="AA11" s="8"/>
      <c r="AB11" s="8"/>
      <c r="AC11" s="8"/>
      <c r="AD11" s="8" t="s">
        <v>162</v>
      </c>
      <c r="AE11" s="8"/>
      <c r="AF11" s="8" t="s">
        <v>163</v>
      </c>
      <c r="AG11" s="10" t="s">
        <v>85</v>
      </c>
    </row>
    <row r="12" customFormat="false" ht="15" hidden="false" customHeight="false" outlineLevel="0" collapsed="false">
      <c r="A12" s="7" t="s">
        <v>164</v>
      </c>
      <c r="B12" s="7" t="s">
        <v>165</v>
      </c>
      <c r="C12" s="7" t="s">
        <v>166</v>
      </c>
      <c r="D12" s="7" t="s">
        <v>167</v>
      </c>
      <c r="E12" s="7" t="s">
        <v>168</v>
      </c>
      <c r="F12" s="7" t="s">
        <v>169</v>
      </c>
      <c r="G12" s="7" t="s">
        <v>170</v>
      </c>
      <c r="H12" s="7" t="s">
        <v>170</v>
      </c>
      <c r="I12" s="7"/>
      <c r="J12" s="7" t="s">
        <v>171</v>
      </c>
      <c r="K12" s="7" t="s">
        <v>25</v>
      </c>
      <c r="L12" s="7" t="s">
        <v>89</v>
      </c>
      <c r="M12" s="7" t="s">
        <v>102</v>
      </c>
      <c r="N12" s="7"/>
      <c r="O12" s="7" t="s">
        <v>157</v>
      </c>
      <c r="P12" s="7"/>
      <c r="Q12" s="7"/>
      <c r="R12" s="7"/>
      <c r="S12" s="7"/>
      <c r="T12" s="7"/>
      <c r="U12" s="7" t="s">
        <v>172</v>
      </c>
      <c r="V12" s="7" t="s">
        <v>173</v>
      </c>
      <c r="W12" s="7" t="s">
        <v>174</v>
      </c>
      <c r="X12" s="7" t="s">
        <v>14</v>
      </c>
      <c r="Y12" s="7"/>
      <c r="Z12" s="7" t="s">
        <v>175</v>
      </c>
      <c r="AA12" s="7"/>
      <c r="AB12" s="7"/>
      <c r="AC12" s="7"/>
      <c r="AD12" s="7" t="s">
        <v>176</v>
      </c>
      <c r="AE12" s="7"/>
      <c r="AF12" s="7" t="s">
        <v>177</v>
      </c>
      <c r="AG12" s="10" t="s">
        <v>85</v>
      </c>
    </row>
    <row r="13" customFormat="false" ht="15" hidden="false" customHeight="false" outlineLevel="0" collapsed="false">
      <c r="A13" s="8" t="s">
        <v>178</v>
      </c>
      <c r="B13" s="8" t="s">
        <v>179</v>
      </c>
      <c r="C13" s="8" t="s">
        <v>179</v>
      </c>
      <c r="D13" s="8" t="s">
        <v>180</v>
      </c>
      <c r="E13" s="8" t="s">
        <v>181</v>
      </c>
      <c r="F13" s="8" t="s">
        <v>182</v>
      </c>
      <c r="G13" s="8"/>
      <c r="H13" s="8"/>
      <c r="I13" s="8"/>
      <c r="J13" s="8" t="s">
        <v>183</v>
      </c>
      <c r="K13" s="8" t="s">
        <v>26</v>
      </c>
      <c r="L13" s="8" t="s">
        <v>184</v>
      </c>
      <c r="M13" s="8"/>
      <c r="N13" s="8"/>
      <c r="O13" s="8" t="s">
        <v>185</v>
      </c>
      <c r="P13" s="8"/>
      <c r="Q13" s="8"/>
      <c r="R13" s="8"/>
      <c r="S13" s="8"/>
      <c r="T13" s="8"/>
      <c r="U13" s="8" t="s">
        <v>186</v>
      </c>
      <c r="V13" s="8" t="s">
        <v>187</v>
      </c>
      <c r="W13" s="8" t="s">
        <v>188</v>
      </c>
      <c r="X13" s="8" t="s">
        <v>13</v>
      </c>
      <c r="Y13" s="8"/>
      <c r="Z13" s="8" t="s">
        <v>189</v>
      </c>
      <c r="AA13" s="8" t="n">
        <v>936000000000</v>
      </c>
      <c r="AB13" s="8"/>
      <c r="AC13" s="8"/>
      <c r="AD13" s="8"/>
      <c r="AE13" s="8"/>
      <c r="AF13" s="8" t="s">
        <v>190</v>
      </c>
      <c r="AG13" s="10" t="s">
        <v>85</v>
      </c>
    </row>
    <row r="14" customFormat="false" ht="15" hidden="false" customHeight="false" outlineLevel="0" collapsed="false">
      <c r="A14" s="7" t="s">
        <v>191</v>
      </c>
      <c r="B14" s="7" t="s">
        <v>192</v>
      </c>
      <c r="C14" s="7" t="s">
        <v>193</v>
      </c>
      <c r="D14" s="7" t="s">
        <v>194</v>
      </c>
      <c r="E14" s="7" t="s">
        <v>195</v>
      </c>
      <c r="F14" s="7" t="s">
        <v>196</v>
      </c>
      <c r="G14" s="7" t="s">
        <v>197</v>
      </c>
      <c r="H14" s="7" t="s">
        <v>197</v>
      </c>
      <c r="I14" s="7"/>
      <c r="J14" s="7" t="s">
        <v>198</v>
      </c>
      <c r="K14" s="7" t="s">
        <v>26</v>
      </c>
      <c r="L14" s="7" t="s">
        <v>184</v>
      </c>
      <c r="M14" s="7"/>
      <c r="N14" s="7"/>
      <c r="O14" s="7" t="s">
        <v>199</v>
      </c>
      <c r="P14" s="7"/>
      <c r="Q14" s="7"/>
      <c r="R14" s="7" t="s">
        <v>200</v>
      </c>
      <c r="S14" s="7"/>
      <c r="T14" s="7"/>
      <c r="U14" s="7" t="s">
        <v>201</v>
      </c>
      <c r="V14" s="7" t="s">
        <v>202</v>
      </c>
      <c r="W14" s="7" t="s">
        <v>203</v>
      </c>
      <c r="X14" s="7" t="s">
        <v>13</v>
      </c>
      <c r="Y14" s="7"/>
      <c r="Z14" s="7" t="s">
        <v>204</v>
      </c>
      <c r="AA14" s="7" t="n">
        <v>4300000000</v>
      </c>
      <c r="AB14" s="7" t="s">
        <v>205</v>
      </c>
      <c r="AC14" s="7" t="s">
        <v>206</v>
      </c>
      <c r="AD14" s="7"/>
      <c r="AE14" s="7"/>
      <c r="AF14" s="7" t="s">
        <v>207</v>
      </c>
      <c r="AG14" s="11" t="s">
        <v>208</v>
      </c>
    </row>
    <row r="15" customFormat="false" ht="15" hidden="false" customHeight="false" outlineLevel="0" collapsed="false">
      <c r="A15" s="8" t="s">
        <v>209</v>
      </c>
      <c r="B15" s="8" t="s">
        <v>210</v>
      </c>
      <c r="C15" s="8" t="s">
        <v>211</v>
      </c>
      <c r="D15" s="8" t="s">
        <v>212</v>
      </c>
      <c r="E15" s="8" t="s">
        <v>213</v>
      </c>
      <c r="F15" s="8" t="s">
        <v>214</v>
      </c>
      <c r="G15" s="8" t="s">
        <v>215</v>
      </c>
      <c r="H15" s="8" t="s">
        <v>215</v>
      </c>
      <c r="I15" s="8"/>
      <c r="J15" s="8" t="s">
        <v>216</v>
      </c>
      <c r="K15" s="8" t="s">
        <v>28</v>
      </c>
      <c r="L15" s="8" t="s">
        <v>89</v>
      </c>
      <c r="M15" s="8" t="s">
        <v>102</v>
      </c>
      <c r="N15" s="8"/>
      <c r="O15" s="8" t="s">
        <v>199</v>
      </c>
      <c r="P15" s="8"/>
      <c r="Q15" s="8"/>
      <c r="R15" s="8" t="s">
        <v>217</v>
      </c>
      <c r="S15" s="8"/>
      <c r="T15" s="8"/>
      <c r="U15" s="8" t="s">
        <v>218</v>
      </c>
      <c r="V15" s="8" t="s">
        <v>219</v>
      </c>
      <c r="W15" s="8" t="s">
        <v>220</v>
      </c>
      <c r="X15" s="8" t="s">
        <v>13</v>
      </c>
      <c r="Y15" s="8"/>
      <c r="Z15" s="8" t="s">
        <v>221</v>
      </c>
      <c r="AA15" s="8"/>
      <c r="AB15" s="8" t="s">
        <v>222</v>
      </c>
      <c r="AC15" s="8"/>
      <c r="AD15" s="8"/>
      <c r="AE15" s="8"/>
      <c r="AF15" s="8"/>
      <c r="AG15" s="11" t="s">
        <v>208</v>
      </c>
    </row>
    <row r="16" customFormat="false" ht="15" hidden="false" customHeight="false" outlineLevel="0" collapsed="false">
      <c r="A16" s="7" t="s">
        <v>223</v>
      </c>
      <c r="B16" s="7" t="s">
        <v>224</v>
      </c>
      <c r="C16" s="7" t="s">
        <v>210</v>
      </c>
      <c r="D16" s="7" t="s">
        <v>225</v>
      </c>
      <c r="E16" s="7" t="s">
        <v>181</v>
      </c>
      <c r="F16" s="7" t="s">
        <v>226</v>
      </c>
      <c r="G16" s="7" t="s">
        <v>227</v>
      </c>
      <c r="H16" s="7" t="s">
        <v>227</v>
      </c>
      <c r="I16" s="7"/>
      <c r="J16" s="7" t="s">
        <v>228</v>
      </c>
      <c r="K16" s="7" t="s">
        <v>28</v>
      </c>
      <c r="L16" s="7" t="s">
        <v>89</v>
      </c>
      <c r="M16" s="7" t="s">
        <v>102</v>
      </c>
      <c r="N16" s="7"/>
      <c r="O16" s="7" t="s">
        <v>199</v>
      </c>
      <c r="P16" s="7"/>
      <c r="Q16" s="7"/>
      <c r="R16" s="7" t="s">
        <v>229</v>
      </c>
      <c r="S16" s="7"/>
      <c r="T16" s="7"/>
      <c r="U16" s="7" t="s">
        <v>230</v>
      </c>
      <c r="V16" s="7" t="s">
        <v>231</v>
      </c>
      <c r="W16" s="7" t="s">
        <v>232</v>
      </c>
      <c r="X16" s="7" t="s">
        <v>13</v>
      </c>
      <c r="Y16" s="7"/>
      <c r="Z16" s="7" t="s">
        <v>233</v>
      </c>
      <c r="AA16" s="7"/>
      <c r="AB16" s="7" t="s">
        <v>234</v>
      </c>
      <c r="AC16" s="7"/>
      <c r="AD16" s="7"/>
      <c r="AE16" s="7"/>
      <c r="AF16" s="7"/>
      <c r="AG16" s="11" t="s">
        <v>208</v>
      </c>
    </row>
    <row r="17" customFormat="false" ht="15" hidden="false" customHeight="false" outlineLevel="0" collapsed="false">
      <c r="A17" s="8" t="s">
        <v>235</v>
      </c>
      <c r="B17" s="8" t="s">
        <v>224</v>
      </c>
      <c r="C17" s="8" t="s">
        <v>210</v>
      </c>
      <c r="D17" s="8" t="s">
        <v>236</v>
      </c>
      <c r="E17" s="8" t="s">
        <v>181</v>
      </c>
      <c r="F17" s="8" t="s">
        <v>226</v>
      </c>
      <c r="G17" s="8" t="s">
        <v>237</v>
      </c>
      <c r="H17" s="8" t="s">
        <v>237</v>
      </c>
      <c r="I17" s="8"/>
      <c r="J17" s="8" t="s">
        <v>238</v>
      </c>
      <c r="K17" s="8" t="s">
        <v>28</v>
      </c>
      <c r="L17" s="8" t="s">
        <v>89</v>
      </c>
      <c r="M17" s="8" t="s">
        <v>102</v>
      </c>
      <c r="N17" s="8"/>
      <c r="O17" s="8" t="s">
        <v>239</v>
      </c>
      <c r="P17" s="8"/>
      <c r="Q17" s="8"/>
      <c r="R17" s="8" t="s">
        <v>217</v>
      </c>
      <c r="S17" s="8"/>
      <c r="T17" s="8"/>
      <c r="U17" s="8" t="s">
        <v>240</v>
      </c>
      <c r="V17" s="8" t="s">
        <v>241</v>
      </c>
      <c r="W17" s="8" t="s">
        <v>242</v>
      </c>
      <c r="X17" s="8" t="s">
        <v>13</v>
      </c>
      <c r="Y17" s="8"/>
      <c r="Z17" s="8" t="s">
        <v>243</v>
      </c>
      <c r="AA17" s="8"/>
      <c r="AB17" s="8" t="s">
        <v>234</v>
      </c>
      <c r="AC17" s="8"/>
      <c r="AD17" s="8"/>
      <c r="AE17" s="8"/>
      <c r="AF17" s="8"/>
      <c r="AG17" s="11" t="s">
        <v>208</v>
      </c>
    </row>
    <row r="18" customFormat="false" ht="15" hidden="false" customHeight="false" outlineLevel="0" collapsed="false">
      <c r="A18" s="7" t="s">
        <v>244</v>
      </c>
      <c r="B18" s="7" t="s">
        <v>165</v>
      </c>
      <c r="C18" s="7" t="s">
        <v>245</v>
      </c>
      <c r="D18" s="7" t="s">
        <v>246</v>
      </c>
      <c r="E18" s="7" t="s">
        <v>213</v>
      </c>
      <c r="F18" s="7" t="s">
        <v>247</v>
      </c>
      <c r="G18" s="7" t="s">
        <v>248</v>
      </c>
      <c r="H18" s="7" t="s">
        <v>248</v>
      </c>
      <c r="I18" s="7"/>
      <c r="J18" s="7" t="s">
        <v>28</v>
      </c>
      <c r="K18" s="7" t="s">
        <v>28</v>
      </c>
      <c r="L18" s="7" t="s">
        <v>89</v>
      </c>
      <c r="M18" s="7" t="s">
        <v>102</v>
      </c>
      <c r="N18" s="7"/>
      <c r="O18" s="7" t="s">
        <v>239</v>
      </c>
      <c r="P18" s="7"/>
      <c r="Q18" s="7"/>
      <c r="R18" s="7" t="s">
        <v>249</v>
      </c>
      <c r="S18" s="7"/>
      <c r="T18" s="7"/>
      <c r="U18" s="7" t="s">
        <v>250</v>
      </c>
      <c r="V18" s="7" t="s">
        <v>231</v>
      </c>
      <c r="W18" s="7" t="s">
        <v>251</v>
      </c>
      <c r="X18" s="7" t="s">
        <v>13</v>
      </c>
      <c r="Y18" s="7"/>
      <c r="Z18" s="7" t="s">
        <v>252</v>
      </c>
      <c r="AA18" s="7"/>
      <c r="AB18" s="7" t="s">
        <v>253</v>
      </c>
      <c r="AC18" s="7"/>
      <c r="AD18" s="7" t="s">
        <v>254</v>
      </c>
      <c r="AE18" s="7"/>
      <c r="AF18" s="7" t="s">
        <v>255</v>
      </c>
      <c r="AG18" s="11" t="s">
        <v>208</v>
      </c>
    </row>
    <row r="19" customFormat="false" ht="15" hidden="false" customHeight="false" outlineLevel="0" collapsed="false">
      <c r="A19" s="8" t="s">
        <v>256</v>
      </c>
      <c r="B19" s="8" t="s">
        <v>257</v>
      </c>
      <c r="C19" s="8" t="s">
        <v>258</v>
      </c>
      <c r="D19" s="8" t="s">
        <v>259</v>
      </c>
      <c r="E19" s="8" t="s">
        <v>181</v>
      </c>
      <c r="F19" s="8" t="s">
        <v>260</v>
      </c>
      <c r="G19" s="8" t="s">
        <v>261</v>
      </c>
      <c r="H19" s="8" t="s">
        <v>261</v>
      </c>
      <c r="I19" s="8"/>
      <c r="J19" s="8" t="s">
        <v>262</v>
      </c>
      <c r="K19" s="8" t="s">
        <v>25</v>
      </c>
      <c r="L19" s="8" t="s">
        <v>184</v>
      </c>
      <c r="M19" s="8"/>
      <c r="N19" s="8"/>
      <c r="O19" s="8" t="s">
        <v>157</v>
      </c>
      <c r="P19" s="8"/>
      <c r="Q19" s="8"/>
      <c r="R19" s="8"/>
      <c r="S19" s="8"/>
      <c r="T19" s="8"/>
      <c r="U19" s="8" t="s">
        <v>263</v>
      </c>
      <c r="V19" s="8" t="s">
        <v>264</v>
      </c>
      <c r="W19" s="8" t="s">
        <v>265</v>
      </c>
      <c r="X19" s="8" t="s">
        <v>21</v>
      </c>
      <c r="Y19" s="8"/>
      <c r="Z19" s="8"/>
      <c r="AA19" s="8"/>
      <c r="AB19" s="8" t="s">
        <v>234</v>
      </c>
      <c r="AC19" s="8"/>
      <c r="AD19" s="8"/>
      <c r="AE19" s="8"/>
      <c r="AF19" s="8"/>
      <c r="AG19" s="10" t="s">
        <v>85</v>
      </c>
    </row>
    <row r="20" customFormat="false" ht="15" hidden="false" customHeight="false" outlineLevel="0" collapsed="false">
      <c r="A20" s="7" t="s">
        <v>266</v>
      </c>
      <c r="B20" s="7" t="s">
        <v>192</v>
      </c>
      <c r="C20" s="7" t="s">
        <v>267</v>
      </c>
      <c r="D20" s="7" t="s">
        <v>268</v>
      </c>
      <c r="E20" s="7" t="s">
        <v>181</v>
      </c>
      <c r="F20" s="7" t="s">
        <v>269</v>
      </c>
      <c r="G20" s="7" t="s">
        <v>270</v>
      </c>
      <c r="H20" s="7" t="s">
        <v>270</v>
      </c>
      <c r="I20" s="7"/>
      <c r="J20" s="7" t="s">
        <v>271</v>
      </c>
      <c r="K20" s="7" t="s">
        <v>29</v>
      </c>
      <c r="L20" s="7" t="s">
        <v>89</v>
      </c>
      <c r="M20" s="7" t="s">
        <v>272</v>
      </c>
      <c r="N20" s="7"/>
      <c r="O20" s="7" t="s">
        <v>273</v>
      </c>
      <c r="P20" s="7"/>
      <c r="Q20" s="7"/>
      <c r="R20" s="7" t="s">
        <v>274</v>
      </c>
      <c r="S20" s="7"/>
      <c r="T20" s="7"/>
      <c r="U20" s="7" t="s">
        <v>275</v>
      </c>
      <c r="V20" s="7" t="s">
        <v>276</v>
      </c>
      <c r="W20" s="7" t="s">
        <v>277</v>
      </c>
      <c r="X20" s="7" t="s">
        <v>13</v>
      </c>
      <c r="Y20" s="7"/>
      <c r="Z20" s="7" t="s">
        <v>278</v>
      </c>
      <c r="AA20" s="7"/>
      <c r="AB20" s="7" t="s">
        <v>253</v>
      </c>
      <c r="AC20" s="7" t="s">
        <v>279</v>
      </c>
      <c r="AD20" s="7" t="s">
        <v>280</v>
      </c>
      <c r="AE20" s="7"/>
      <c r="AF20" s="7"/>
      <c r="AG20" s="10" t="s">
        <v>85</v>
      </c>
    </row>
    <row r="21" customFormat="false" ht="15" hidden="false" customHeight="false" outlineLevel="0" collapsed="false">
      <c r="A21" s="8" t="s">
        <v>281</v>
      </c>
      <c r="B21" s="8" t="s">
        <v>192</v>
      </c>
      <c r="C21" s="8" t="s">
        <v>166</v>
      </c>
      <c r="D21" s="8" t="s">
        <v>282</v>
      </c>
      <c r="E21" s="8" t="s">
        <v>283</v>
      </c>
      <c r="F21" s="8" t="s">
        <v>284</v>
      </c>
      <c r="G21" s="8"/>
      <c r="H21" s="8"/>
      <c r="I21" s="8"/>
      <c r="J21" s="8" t="s">
        <v>285</v>
      </c>
      <c r="K21" s="8" t="s">
        <v>26</v>
      </c>
      <c r="L21" s="8" t="s">
        <v>184</v>
      </c>
      <c r="M21" s="8"/>
      <c r="N21" s="8"/>
      <c r="O21" s="8" t="s">
        <v>157</v>
      </c>
      <c r="P21" s="8"/>
      <c r="Q21" s="8"/>
      <c r="R21" s="8"/>
      <c r="S21" s="8"/>
      <c r="T21" s="8"/>
      <c r="U21" s="8" t="s">
        <v>286</v>
      </c>
      <c r="V21" s="8" t="s">
        <v>187</v>
      </c>
      <c r="W21" s="8" t="s">
        <v>287</v>
      </c>
      <c r="X21" s="8" t="s">
        <v>22</v>
      </c>
      <c r="Y21" s="8"/>
      <c r="Z21" s="8" t="s">
        <v>288</v>
      </c>
      <c r="AA21" s="8"/>
      <c r="AB21" s="8" t="s">
        <v>289</v>
      </c>
      <c r="AC21" s="8"/>
      <c r="AD21" s="8"/>
      <c r="AE21" s="8"/>
      <c r="AF21" s="8"/>
      <c r="AG21" s="11" t="s">
        <v>208</v>
      </c>
    </row>
    <row r="22" customFormat="false" ht="15" hidden="false" customHeight="false" outlineLevel="0" collapsed="false">
      <c r="A22" s="7" t="s">
        <v>290</v>
      </c>
      <c r="B22" s="7" t="s">
        <v>192</v>
      </c>
      <c r="C22" s="7" t="s">
        <v>291</v>
      </c>
      <c r="D22" s="7" t="s">
        <v>292</v>
      </c>
      <c r="E22" s="7" t="s">
        <v>293</v>
      </c>
      <c r="F22" s="7" t="s">
        <v>294</v>
      </c>
      <c r="G22" s="7"/>
      <c r="H22" s="7"/>
      <c r="I22" s="7"/>
      <c r="J22" s="7" t="s">
        <v>295</v>
      </c>
      <c r="K22" s="7" t="s">
        <v>25</v>
      </c>
      <c r="L22" s="7" t="s">
        <v>89</v>
      </c>
      <c r="M22" s="7" t="s">
        <v>102</v>
      </c>
      <c r="N22" s="7"/>
      <c r="O22" s="7" t="s">
        <v>239</v>
      </c>
      <c r="P22" s="7"/>
      <c r="Q22" s="7"/>
      <c r="R22" s="7"/>
      <c r="S22" s="7"/>
      <c r="T22" s="7"/>
      <c r="U22" s="7" t="s">
        <v>296</v>
      </c>
      <c r="V22" s="7" t="s">
        <v>241</v>
      </c>
      <c r="W22" s="7" t="s">
        <v>297</v>
      </c>
      <c r="X22" s="7" t="s">
        <v>298</v>
      </c>
      <c r="Y22" s="7"/>
      <c r="Z22" s="7"/>
      <c r="AA22" s="7"/>
      <c r="AB22" s="7" t="s">
        <v>299</v>
      </c>
      <c r="AC22" s="7"/>
      <c r="AD22" s="7"/>
      <c r="AE22" s="7"/>
      <c r="AF22" s="7"/>
      <c r="AG22" s="11" t="s">
        <v>208</v>
      </c>
    </row>
    <row r="23" customFormat="false" ht="15" hidden="false" customHeight="false" outlineLevel="0" collapsed="false">
      <c r="A23" s="8" t="s">
        <v>300</v>
      </c>
      <c r="B23" s="8" t="s">
        <v>301</v>
      </c>
      <c r="C23" s="8" t="s">
        <v>302</v>
      </c>
      <c r="D23" s="8" t="s">
        <v>303</v>
      </c>
      <c r="E23" s="8" t="s">
        <v>304</v>
      </c>
      <c r="F23" s="8" t="s">
        <v>305</v>
      </c>
      <c r="G23" s="8" t="s">
        <v>306</v>
      </c>
      <c r="H23" s="8" t="s">
        <v>306</v>
      </c>
      <c r="I23" s="8" t="s">
        <v>306</v>
      </c>
      <c r="J23" s="8" t="s">
        <v>307</v>
      </c>
      <c r="K23" s="8" t="s">
        <v>25</v>
      </c>
      <c r="L23" s="8" t="s">
        <v>89</v>
      </c>
      <c r="M23" s="8" t="s">
        <v>102</v>
      </c>
      <c r="N23" s="8"/>
      <c r="O23" s="8" t="s">
        <v>308</v>
      </c>
      <c r="P23" s="8"/>
      <c r="Q23" s="8" t="s">
        <v>309</v>
      </c>
      <c r="R23" s="8" t="s">
        <v>310</v>
      </c>
      <c r="S23" s="8"/>
      <c r="T23" s="8"/>
      <c r="U23" s="8" t="s">
        <v>311</v>
      </c>
      <c r="V23" s="8" t="s">
        <v>312</v>
      </c>
      <c r="W23" s="8" t="s">
        <v>313</v>
      </c>
      <c r="X23" s="8" t="s">
        <v>15</v>
      </c>
      <c r="Y23" s="8" t="s">
        <v>314</v>
      </c>
      <c r="Z23" s="8" t="s">
        <v>315</v>
      </c>
      <c r="AA23" s="8" t="n">
        <v>280000</v>
      </c>
      <c r="AB23" s="8"/>
      <c r="AC23" s="8"/>
      <c r="AD23" s="8"/>
      <c r="AE23" s="8"/>
      <c r="AF23" s="8"/>
      <c r="AG23" s="11" t="s">
        <v>208</v>
      </c>
    </row>
    <row r="24" customFormat="false" ht="15" hidden="false" customHeight="false" outlineLevel="0" collapsed="false">
      <c r="A24" s="7" t="s">
        <v>316</v>
      </c>
      <c r="B24" s="7" t="s">
        <v>317</v>
      </c>
      <c r="C24" s="7" t="s">
        <v>318</v>
      </c>
      <c r="D24" s="7" t="s">
        <v>319</v>
      </c>
      <c r="E24" s="7" t="s">
        <v>304</v>
      </c>
      <c r="F24" s="7" t="s">
        <v>320</v>
      </c>
      <c r="G24" s="7" t="s">
        <v>306</v>
      </c>
      <c r="H24" s="7" t="s">
        <v>306</v>
      </c>
      <c r="I24" s="7" t="s">
        <v>306</v>
      </c>
      <c r="J24" s="7" t="s">
        <v>321</v>
      </c>
      <c r="K24" s="7" t="s">
        <v>26</v>
      </c>
      <c r="L24" s="7" t="s">
        <v>184</v>
      </c>
      <c r="M24" s="7"/>
      <c r="N24" s="7"/>
      <c r="O24" s="7" t="s">
        <v>322</v>
      </c>
      <c r="P24" s="7"/>
      <c r="Q24" s="7" t="s">
        <v>323</v>
      </c>
      <c r="R24" s="7" t="s">
        <v>324</v>
      </c>
      <c r="S24" s="7"/>
      <c r="T24" s="7"/>
      <c r="U24" s="7" t="s">
        <v>325</v>
      </c>
      <c r="V24" s="7" t="s">
        <v>326</v>
      </c>
      <c r="W24" s="7" t="s">
        <v>327</v>
      </c>
      <c r="X24" s="7" t="s">
        <v>15</v>
      </c>
      <c r="Y24" s="7" t="s">
        <v>328</v>
      </c>
      <c r="Z24" s="7" t="s">
        <v>329</v>
      </c>
      <c r="AA24" s="7" t="n">
        <v>3200000</v>
      </c>
      <c r="AB24" s="7"/>
      <c r="AC24" s="7"/>
      <c r="AD24" s="7" t="s">
        <v>330</v>
      </c>
      <c r="AE24" s="7"/>
      <c r="AF24" s="7"/>
      <c r="AG24" s="11" t="s">
        <v>208</v>
      </c>
    </row>
    <row r="25" customFormat="false" ht="15" hidden="false" customHeight="false" outlineLevel="0" collapsed="false">
      <c r="A25" s="8" t="s">
        <v>331</v>
      </c>
      <c r="B25" s="8" t="s">
        <v>332</v>
      </c>
      <c r="C25" s="8" t="s">
        <v>333</v>
      </c>
      <c r="D25" s="8" t="s">
        <v>334</v>
      </c>
      <c r="E25" s="8" t="s">
        <v>335</v>
      </c>
      <c r="F25" s="8" t="s">
        <v>336</v>
      </c>
      <c r="G25" s="8" t="s">
        <v>120</v>
      </c>
      <c r="H25" s="8" t="s">
        <v>120</v>
      </c>
      <c r="I25" s="8" t="s">
        <v>306</v>
      </c>
      <c r="J25" s="8" t="s">
        <v>337</v>
      </c>
      <c r="K25" s="8" t="s">
        <v>32</v>
      </c>
      <c r="L25" s="8"/>
      <c r="M25" s="8"/>
      <c r="N25" s="8"/>
      <c r="O25" s="8" t="s">
        <v>75</v>
      </c>
      <c r="P25" s="8" t="s">
        <v>338</v>
      </c>
      <c r="Q25" s="8" t="s">
        <v>339</v>
      </c>
      <c r="R25" s="8"/>
      <c r="S25" s="8" t="s">
        <v>340</v>
      </c>
      <c r="T25" s="8" t="s">
        <v>341</v>
      </c>
      <c r="U25" s="8" t="s">
        <v>342</v>
      </c>
      <c r="V25" s="8" t="s">
        <v>80</v>
      </c>
      <c r="W25" s="8" t="s">
        <v>343</v>
      </c>
      <c r="X25" s="8" t="s">
        <v>344</v>
      </c>
      <c r="Y25" s="8"/>
      <c r="Z25" s="8" t="s">
        <v>345</v>
      </c>
      <c r="AA25" s="8"/>
      <c r="AB25" s="8" t="s">
        <v>346</v>
      </c>
      <c r="AC25" s="8"/>
      <c r="AD25" s="8" t="s">
        <v>347</v>
      </c>
      <c r="AE25" s="8" t="s">
        <v>84</v>
      </c>
      <c r="AF25" s="8"/>
      <c r="AG25" s="10" t="s">
        <v>85</v>
      </c>
    </row>
    <row r="26" customFormat="false" ht="15" hidden="false" customHeight="false" outlineLevel="0" collapsed="false">
      <c r="A26" s="7" t="s">
        <v>348</v>
      </c>
      <c r="B26" s="7" t="s">
        <v>349</v>
      </c>
      <c r="C26" s="7" t="s">
        <v>350</v>
      </c>
      <c r="D26" s="7" t="s">
        <v>351</v>
      </c>
      <c r="E26" s="7" t="s">
        <v>352</v>
      </c>
      <c r="F26" s="7" t="s">
        <v>353</v>
      </c>
      <c r="G26" s="7" t="s">
        <v>270</v>
      </c>
      <c r="H26" s="7" t="s">
        <v>270</v>
      </c>
      <c r="I26" s="7"/>
      <c r="J26" s="7" t="s">
        <v>354</v>
      </c>
      <c r="K26" s="7" t="s">
        <v>25</v>
      </c>
      <c r="L26" s="7" t="s">
        <v>73</v>
      </c>
      <c r="M26" s="7" t="s">
        <v>74</v>
      </c>
      <c r="N26" s="7"/>
      <c r="O26" s="7" t="s">
        <v>75</v>
      </c>
      <c r="P26" s="7" t="s">
        <v>76</v>
      </c>
      <c r="Q26" s="7" t="s">
        <v>355</v>
      </c>
      <c r="R26" s="7"/>
      <c r="S26" s="7"/>
      <c r="T26" s="7"/>
      <c r="U26" s="7" t="s">
        <v>356</v>
      </c>
      <c r="V26" s="7" t="s">
        <v>173</v>
      </c>
      <c r="W26" s="7" t="s">
        <v>357</v>
      </c>
      <c r="X26" s="7" t="s">
        <v>358</v>
      </c>
      <c r="Y26" s="7"/>
      <c r="Z26" s="7"/>
      <c r="AA26" s="7"/>
      <c r="AB26" s="7"/>
      <c r="AC26" s="7"/>
      <c r="AD26" s="7" t="s">
        <v>359</v>
      </c>
      <c r="AE26" s="7"/>
      <c r="AF26" s="7" t="s">
        <v>360</v>
      </c>
      <c r="AG26" s="10" t="s">
        <v>85</v>
      </c>
    </row>
    <row r="27" customFormat="false" ht="15" hidden="false" customHeight="false" outlineLevel="0" collapsed="false">
      <c r="A27" s="8" t="s">
        <v>361</v>
      </c>
      <c r="B27" s="8" t="s">
        <v>166</v>
      </c>
      <c r="C27" s="8" t="s">
        <v>318</v>
      </c>
      <c r="D27" s="8" t="s">
        <v>362</v>
      </c>
      <c r="E27" s="8" t="s">
        <v>304</v>
      </c>
      <c r="F27" s="8" t="s">
        <v>363</v>
      </c>
      <c r="G27" s="8"/>
      <c r="H27" s="8"/>
      <c r="I27" s="8"/>
      <c r="J27" s="8" t="s">
        <v>364</v>
      </c>
      <c r="K27" s="8" t="s">
        <v>26</v>
      </c>
      <c r="L27" s="8" t="s">
        <v>184</v>
      </c>
      <c r="M27" s="8"/>
      <c r="N27" s="8"/>
      <c r="O27" s="8" t="s">
        <v>75</v>
      </c>
      <c r="P27" s="8" t="s">
        <v>76</v>
      </c>
      <c r="Q27" s="8" t="s">
        <v>355</v>
      </c>
      <c r="R27" s="8" t="s">
        <v>78</v>
      </c>
      <c r="S27" s="8"/>
      <c r="T27" s="8"/>
      <c r="U27" s="8" t="s">
        <v>365</v>
      </c>
      <c r="V27" s="8" t="s">
        <v>80</v>
      </c>
      <c r="W27" s="8" t="s">
        <v>366</v>
      </c>
      <c r="X27" s="8" t="s">
        <v>367</v>
      </c>
      <c r="Y27" s="8" t="s">
        <v>368</v>
      </c>
      <c r="Z27" s="8"/>
      <c r="AA27" s="8"/>
      <c r="AB27" s="8"/>
      <c r="AC27" s="8"/>
      <c r="AD27" s="8" t="s">
        <v>369</v>
      </c>
      <c r="AE27" s="8"/>
      <c r="AF27" s="8" t="s">
        <v>370</v>
      </c>
      <c r="AG27" s="10" t="s">
        <v>85</v>
      </c>
    </row>
    <row r="28" customFormat="false" ht="15" hidden="false" customHeight="false" outlineLevel="0" collapsed="false">
      <c r="A28" s="7" t="s">
        <v>371</v>
      </c>
      <c r="B28" s="7" t="s">
        <v>372</v>
      </c>
      <c r="C28" s="7" t="s">
        <v>373</v>
      </c>
      <c r="D28" s="7" t="s">
        <v>374</v>
      </c>
      <c r="E28" s="7" t="s">
        <v>213</v>
      </c>
      <c r="F28" s="7" t="s">
        <v>375</v>
      </c>
      <c r="G28" s="7"/>
      <c r="H28" s="7"/>
      <c r="I28" s="7"/>
      <c r="J28" s="7" t="s">
        <v>376</v>
      </c>
      <c r="K28" s="7" t="s">
        <v>25</v>
      </c>
      <c r="L28" s="7" t="s">
        <v>89</v>
      </c>
      <c r="M28" s="7" t="s">
        <v>102</v>
      </c>
      <c r="N28" s="7"/>
      <c r="O28" s="7" t="s">
        <v>239</v>
      </c>
      <c r="P28" s="7"/>
      <c r="Q28" s="7"/>
      <c r="R28" s="7" t="s">
        <v>377</v>
      </c>
      <c r="S28" s="7"/>
      <c r="T28" s="7"/>
      <c r="U28" s="7" t="s">
        <v>378</v>
      </c>
      <c r="V28" s="7" t="s">
        <v>241</v>
      </c>
      <c r="W28" s="7" t="s">
        <v>379</v>
      </c>
      <c r="X28" s="7" t="s">
        <v>13</v>
      </c>
      <c r="Y28" s="7"/>
      <c r="Z28" s="7" t="s">
        <v>380</v>
      </c>
      <c r="AA28" s="7"/>
      <c r="AB28" s="7" t="s">
        <v>234</v>
      </c>
      <c r="AC28" s="7"/>
      <c r="AD28" s="7"/>
      <c r="AE28" s="7"/>
      <c r="AF28" s="7" t="s">
        <v>381</v>
      </c>
      <c r="AG28" s="10" t="s">
        <v>85</v>
      </c>
    </row>
    <row r="29" customFormat="false" ht="15" hidden="false" customHeight="false" outlineLevel="0" collapsed="false">
      <c r="A29" s="8" t="s">
        <v>382</v>
      </c>
      <c r="B29" s="8" t="s">
        <v>349</v>
      </c>
      <c r="C29" s="8" t="s">
        <v>383</v>
      </c>
      <c r="D29" s="8" t="s">
        <v>384</v>
      </c>
      <c r="E29" s="8" t="s">
        <v>385</v>
      </c>
      <c r="F29" s="8" t="s">
        <v>386</v>
      </c>
      <c r="G29" s="8"/>
      <c r="H29" s="8"/>
      <c r="I29" s="8"/>
      <c r="J29" s="8" t="s">
        <v>387</v>
      </c>
      <c r="K29" s="8" t="s">
        <v>388</v>
      </c>
      <c r="L29" s="8"/>
      <c r="M29" s="8"/>
      <c r="N29" s="8"/>
      <c r="O29" s="8" t="s">
        <v>75</v>
      </c>
      <c r="P29" s="8" t="s">
        <v>76</v>
      </c>
      <c r="Q29" s="8" t="s">
        <v>389</v>
      </c>
      <c r="R29" s="8"/>
      <c r="S29" s="8"/>
      <c r="T29" s="8"/>
      <c r="U29" s="8" t="s">
        <v>390</v>
      </c>
      <c r="V29" s="8" t="s">
        <v>80</v>
      </c>
      <c r="W29" s="8" t="s">
        <v>391</v>
      </c>
      <c r="X29" s="8" t="s">
        <v>392</v>
      </c>
      <c r="Y29" s="8"/>
      <c r="Z29" s="8" t="s">
        <v>393</v>
      </c>
      <c r="AA29" s="8"/>
      <c r="AB29" s="8"/>
      <c r="AC29" s="8"/>
      <c r="AD29" s="8" t="s">
        <v>394</v>
      </c>
      <c r="AE29" s="8"/>
      <c r="AF29" s="8" t="s">
        <v>395</v>
      </c>
      <c r="AG29" s="10" t="s">
        <v>85</v>
      </c>
    </row>
    <row r="30" customFormat="false" ht="15" hidden="false" customHeight="false" outlineLevel="0" collapsed="false">
      <c r="A30" s="7" t="s">
        <v>396</v>
      </c>
      <c r="B30" s="7" t="s">
        <v>397</v>
      </c>
      <c r="C30" s="7" t="s">
        <v>398</v>
      </c>
      <c r="D30" s="7" t="s">
        <v>399</v>
      </c>
      <c r="E30" s="7" t="s">
        <v>213</v>
      </c>
      <c r="F30" s="7" t="s">
        <v>400</v>
      </c>
      <c r="G30" s="7" t="s">
        <v>401</v>
      </c>
      <c r="H30" s="7" t="s">
        <v>401</v>
      </c>
      <c r="I30" s="7"/>
      <c r="J30" s="7" t="s">
        <v>27</v>
      </c>
      <c r="K30" s="7" t="s">
        <v>27</v>
      </c>
      <c r="L30" s="7" t="s">
        <v>89</v>
      </c>
      <c r="M30" s="7" t="s">
        <v>90</v>
      </c>
      <c r="N30" s="7"/>
      <c r="O30" s="7" t="s">
        <v>402</v>
      </c>
      <c r="P30" s="7"/>
      <c r="Q30" s="7" t="s">
        <v>309</v>
      </c>
      <c r="R30" s="7" t="s">
        <v>310</v>
      </c>
      <c r="S30" s="7"/>
      <c r="T30" s="7"/>
      <c r="U30" s="7" t="s">
        <v>403</v>
      </c>
      <c r="V30" s="7" t="s">
        <v>404</v>
      </c>
      <c r="W30" s="7" t="s">
        <v>405</v>
      </c>
      <c r="X30" s="7" t="s">
        <v>14</v>
      </c>
      <c r="Y30" s="7"/>
      <c r="Z30" s="7" t="s">
        <v>406</v>
      </c>
      <c r="AA30" s="7"/>
      <c r="AB30" s="7"/>
      <c r="AC30" s="7"/>
      <c r="AD30" s="7"/>
      <c r="AE30" s="7"/>
      <c r="AF30" s="7"/>
      <c r="AG30" s="10" t="s">
        <v>85</v>
      </c>
    </row>
    <row r="31" customFormat="false" ht="15" hidden="false" customHeight="false" outlineLevel="0" collapsed="false">
      <c r="A31" s="8" t="s">
        <v>407</v>
      </c>
      <c r="B31" s="8" t="s">
        <v>397</v>
      </c>
      <c r="C31" s="8" t="s">
        <v>408</v>
      </c>
      <c r="D31" s="8" t="s">
        <v>409</v>
      </c>
      <c r="E31" s="8" t="s">
        <v>304</v>
      </c>
      <c r="F31" s="8" t="s">
        <v>410</v>
      </c>
      <c r="G31" s="8" t="s">
        <v>227</v>
      </c>
      <c r="H31" s="8" t="s">
        <v>227</v>
      </c>
      <c r="I31" s="8"/>
      <c r="J31" s="8" t="s">
        <v>411</v>
      </c>
      <c r="K31" s="8" t="s">
        <v>29</v>
      </c>
      <c r="L31" s="8" t="s">
        <v>89</v>
      </c>
      <c r="M31" s="8" t="s">
        <v>272</v>
      </c>
      <c r="N31" s="8"/>
      <c r="O31" s="8" t="s">
        <v>75</v>
      </c>
      <c r="P31" s="8" t="s">
        <v>76</v>
      </c>
      <c r="Q31" s="8" t="s">
        <v>355</v>
      </c>
      <c r="R31" s="8"/>
      <c r="S31" s="8" t="s">
        <v>412</v>
      </c>
      <c r="T31" s="8"/>
      <c r="U31" s="8" t="s">
        <v>413</v>
      </c>
      <c r="V31" s="8" t="s">
        <v>414</v>
      </c>
      <c r="W31" s="8" t="s">
        <v>415</v>
      </c>
      <c r="X31" s="8" t="s">
        <v>416</v>
      </c>
      <c r="Y31" s="8"/>
      <c r="Z31" s="8"/>
      <c r="AA31" s="8"/>
      <c r="AB31" s="8" t="s">
        <v>234</v>
      </c>
      <c r="AC31" s="8"/>
      <c r="AD31" s="8" t="s">
        <v>417</v>
      </c>
      <c r="AE31" s="8"/>
      <c r="AF31" s="8"/>
      <c r="AG31" s="11" t="s">
        <v>208</v>
      </c>
    </row>
    <row r="32" customFormat="false" ht="15" hidden="false" customHeight="false" outlineLevel="0" collapsed="false">
      <c r="A32" s="7" t="s">
        <v>418</v>
      </c>
      <c r="B32" s="7" t="s">
        <v>165</v>
      </c>
      <c r="C32" s="7" t="s">
        <v>419</v>
      </c>
      <c r="D32" s="7" t="s">
        <v>420</v>
      </c>
      <c r="E32" s="7" t="s">
        <v>213</v>
      </c>
      <c r="F32" s="7" t="s">
        <v>421</v>
      </c>
      <c r="G32" s="7" t="s">
        <v>422</v>
      </c>
      <c r="H32" s="7" t="s">
        <v>422</v>
      </c>
      <c r="I32" s="7"/>
      <c r="J32" s="7" t="s">
        <v>423</v>
      </c>
      <c r="K32" s="7" t="s">
        <v>424</v>
      </c>
      <c r="L32" s="7" t="s">
        <v>89</v>
      </c>
      <c r="M32" s="7" t="s">
        <v>272</v>
      </c>
      <c r="N32" s="7"/>
      <c r="O32" s="7" t="s">
        <v>425</v>
      </c>
      <c r="P32" s="7"/>
      <c r="Q32" s="7"/>
      <c r="R32" s="7"/>
      <c r="S32" s="7"/>
      <c r="T32" s="7"/>
      <c r="U32" s="7" t="s">
        <v>426</v>
      </c>
      <c r="V32" s="7" t="s">
        <v>264</v>
      </c>
      <c r="W32" s="7" t="s">
        <v>427</v>
      </c>
      <c r="X32" s="7" t="s">
        <v>428</v>
      </c>
      <c r="Y32" s="7"/>
      <c r="Z32" s="7" t="s">
        <v>429</v>
      </c>
      <c r="AA32" s="7"/>
      <c r="AB32" s="7"/>
      <c r="AC32" s="7"/>
      <c r="AD32" s="7"/>
      <c r="AE32" s="7"/>
      <c r="AF32" s="7"/>
      <c r="AG32" s="11" t="s">
        <v>208</v>
      </c>
    </row>
    <row r="33" customFormat="false" ht="15" hidden="false" customHeight="false" outlineLevel="0" collapsed="false">
      <c r="A33" s="8" t="s">
        <v>430</v>
      </c>
      <c r="B33" s="8" t="s">
        <v>431</v>
      </c>
      <c r="C33" s="8" t="s">
        <v>432</v>
      </c>
      <c r="D33" s="8" t="s">
        <v>433</v>
      </c>
      <c r="E33" s="8" t="s">
        <v>304</v>
      </c>
      <c r="F33" s="8" t="s">
        <v>434</v>
      </c>
      <c r="G33" s="8"/>
      <c r="H33" s="8"/>
      <c r="I33" s="8"/>
      <c r="J33" s="8" t="s">
        <v>435</v>
      </c>
      <c r="K33" s="8" t="s">
        <v>27</v>
      </c>
      <c r="L33" s="8" t="s">
        <v>89</v>
      </c>
      <c r="M33" s="8" t="s">
        <v>436</v>
      </c>
      <c r="N33" s="8"/>
      <c r="O33" s="8" t="s">
        <v>75</v>
      </c>
      <c r="P33" s="8" t="s">
        <v>76</v>
      </c>
      <c r="Q33" s="8" t="s">
        <v>77</v>
      </c>
      <c r="R33" s="8" t="s">
        <v>78</v>
      </c>
      <c r="S33" s="8"/>
      <c r="T33" s="8"/>
      <c r="U33" s="8"/>
      <c r="V33" s="8" t="s">
        <v>80</v>
      </c>
      <c r="W33" s="8" t="s">
        <v>437</v>
      </c>
      <c r="X33" s="8" t="s">
        <v>438</v>
      </c>
      <c r="Y33" s="8"/>
      <c r="Z33" s="8"/>
      <c r="AA33" s="8"/>
      <c r="AB33" s="8"/>
      <c r="AC33" s="8" t="s">
        <v>439</v>
      </c>
      <c r="AD33" s="8"/>
      <c r="AE33" s="8"/>
      <c r="AF33" s="8"/>
      <c r="AG33" s="11" t="s">
        <v>208</v>
      </c>
    </row>
    <row r="34" customFormat="false" ht="15" hidden="false" customHeight="false" outlineLevel="0" collapsed="false">
      <c r="A34" s="7" t="s">
        <v>440</v>
      </c>
      <c r="B34" s="7" t="s">
        <v>397</v>
      </c>
      <c r="C34" s="7" t="s">
        <v>441</v>
      </c>
      <c r="D34" s="7" t="s">
        <v>442</v>
      </c>
      <c r="E34" s="7" t="s">
        <v>352</v>
      </c>
      <c r="F34" s="7" t="s">
        <v>443</v>
      </c>
      <c r="G34" s="7" t="s">
        <v>270</v>
      </c>
      <c r="H34" s="7" t="s">
        <v>270</v>
      </c>
      <c r="I34" s="7" t="s">
        <v>306</v>
      </c>
      <c r="J34" s="7" t="s">
        <v>354</v>
      </c>
      <c r="K34" s="7" t="s">
        <v>25</v>
      </c>
      <c r="L34" s="7" t="s">
        <v>73</v>
      </c>
      <c r="M34" s="7" t="s">
        <v>74</v>
      </c>
      <c r="N34" s="7"/>
      <c r="O34" s="7" t="s">
        <v>75</v>
      </c>
      <c r="P34" s="7" t="s">
        <v>76</v>
      </c>
      <c r="Q34" s="7" t="s">
        <v>355</v>
      </c>
      <c r="R34" s="7"/>
      <c r="S34" s="7"/>
      <c r="T34" s="7"/>
      <c r="U34" s="7" t="s">
        <v>444</v>
      </c>
      <c r="V34" s="7" t="s">
        <v>173</v>
      </c>
      <c r="W34" s="7" t="s">
        <v>445</v>
      </c>
      <c r="X34" s="7" t="s">
        <v>446</v>
      </c>
      <c r="Y34" s="7"/>
      <c r="Z34" s="7" t="s">
        <v>447</v>
      </c>
      <c r="AA34" s="7"/>
      <c r="AB34" s="7"/>
      <c r="AC34" s="7"/>
      <c r="AD34" s="7" t="s">
        <v>448</v>
      </c>
      <c r="AE34" s="7"/>
      <c r="AF34" s="7" t="s">
        <v>449</v>
      </c>
      <c r="AG34" s="10" t="s">
        <v>85</v>
      </c>
    </row>
  </sheetData>
  <autoFilter ref="A1:AG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2" t="s">
        <v>450</v>
      </c>
      <c r="B1" s="12"/>
      <c r="C1" s="12"/>
      <c r="D1" s="12"/>
    </row>
    <row r="3" customFormat="false" ht="15" hidden="false" customHeight="false" outlineLevel="0" collapsed="false">
      <c r="A3" s="13" t="s">
        <v>451</v>
      </c>
      <c r="B3" s="13" t="s">
        <v>452</v>
      </c>
      <c r="C3" s="13" t="s">
        <v>11</v>
      </c>
      <c r="D3" s="13" t="s">
        <v>453</v>
      </c>
    </row>
    <row r="4" customFormat="false" ht="15" hidden="false" customHeight="false" outlineLevel="0" collapsed="false">
      <c r="A4" s="8" t="s">
        <v>178</v>
      </c>
      <c r="B4" s="8" t="s">
        <v>183</v>
      </c>
      <c r="C4" s="8" t="s">
        <v>13</v>
      </c>
      <c r="D4" s="14" t="n">
        <v>936000000000</v>
      </c>
    </row>
    <row r="5" customFormat="false" ht="15" hidden="false" customHeight="false" outlineLevel="0" collapsed="false">
      <c r="A5" s="8" t="s">
        <v>191</v>
      </c>
      <c r="B5" s="8" t="s">
        <v>198</v>
      </c>
      <c r="C5" s="8" t="s">
        <v>13</v>
      </c>
      <c r="D5" s="14" t="n">
        <v>4300000000</v>
      </c>
    </row>
    <row r="6" customFormat="false" ht="15" hidden="false" customHeight="false" outlineLevel="0" collapsed="false">
      <c r="A6" s="8" t="s">
        <v>114</v>
      </c>
      <c r="B6" s="8" t="s">
        <v>121</v>
      </c>
      <c r="C6" s="8" t="s">
        <v>20</v>
      </c>
      <c r="D6" s="14" t="n">
        <v>13000000</v>
      </c>
    </row>
    <row r="7" customFormat="false" ht="15" hidden="false" customHeight="false" outlineLevel="0" collapsed="false">
      <c r="A7" s="8" t="s">
        <v>316</v>
      </c>
      <c r="B7" s="8" t="s">
        <v>321</v>
      </c>
      <c r="C7" s="8" t="s">
        <v>15</v>
      </c>
      <c r="D7" s="14" t="n">
        <v>3200000</v>
      </c>
    </row>
    <row r="8" customFormat="false" ht="15" hidden="false" customHeight="false" outlineLevel="0" collapsed="false">
      <c r="A8" s="8" t="s">
        <v>108</v>
      </c>
      <c r="B8" s="8" t="s">
        <v>110</v>
      </c>
      <c r="C8" s="8" t="s">
        <v>19</v>
      </c>
      <c r="D8" s="14" t="n">
        <v>550000</v>
      </c>
    </row>
    <row r="9" customFormat="false" ht="15" hidden="false" customHeight="false" outlineLevel="0" collapsed="false">
      <c r="A9" s="8" t="s">
        <v>66</v>
      </c>
      <c r="B9" s="8" t="s">
        <v>72</v>
      </c>
      <c r="C9" s="8" t="s">
        <v>17</v>
      </c>
      <c r="D9" s="14" t="n">
        <v>500000</v>
      </c>
    </row>
    <row r="10" customFormat="false" ht="15" hidden="false" customHeight="false" outlineLevel="0" collapsed="false">
      <c r="A10" s="8" t="s">
        <v>86</v>
      </c>
      <c r="B10" s="8" t="s">
        <v>88</v>
      </c>
      <c r="C10" s="8" t="s">
        <v>18</v>
      </c>
      <c r="D10" s="14" t="n">
        <v>335000</v>
      </c>
    </row>
    <row r="11" customFormat="false" ht="15" hidden="false" customHeight="false" outlineLevel="0" collapsed="false">
      <c r="A11" s="8" t="s">
        <v>300</v>
      </c>
      <c r="B11" s="8" t="s">
        <v>307</v>
      </c>
      <c r="C11" s="8" t="s">
        <v>15</v>
      </c>
      <c r="D11" s="14" t="n">
        <v>280000</v>
      </c>
    </row>
    <row r="12" customFormat="false" ht="15" hidden="false" customHeight="false" outlineLevel="0" collapsed="false">
      <c r="A12" s="8" t="s">
        <v>94</v>
      </c>
      <c r="B12" s="8" t="s">
        <v>96</v>
      </c>
      <c r="C12" s="8" t="s">
        <v>14</v>
      </c>
      <c r="D12" s="14" t="n">
        <v>228000</v>
      </c>
    </row>
    <row r="13" customFormat="false" ht="15" hidden="false" customHeight="false" outlineLevel="0" collapsed="false">
      <c r="A13" s="8" t="s">
        <v>99</v>
      </c>
      <c r="B13" s="8" t="s">
        <v>101</v>
      </c>
      <c r="C13" s="8" t="s">
        <v>14</v>
      </c>
      <c r="D13" s="14" t="n">
        <v>92000</v>
      </c>
    </row>
    <row r="14" customFormat="false" ht="15" hidden="false" customHeight="false" outlineLevel="0" collapsed="false">
      <c r="A14" s="8" t="s">
        <v>104</v>
      </c>
      <c r="B14" s="8" t="s">
        <v>106</v>
      </c>
      <c r="C14" s="8" t="s">
        <v>15</v>
      </c>
      <c r="D14" s="14" t="n">
        <v>58000</v>
      </c>
    </row>
    <row r="16" customFormat="false" ht="15" hidden="false" customHeight="false" outlineLevel="0" collapsed="false">
      <c r="C16" s="15" t="s">
        <v>454</v>
      </c>
      <c r="D16" s="16" t="n">
        <f aca="false">SUM(D4:D14)</f>
        <v>940318243000</v>
      </c>
    </row>
    <row r="17" customFormat="false" ht="15" hidden="false" customHeight="false" outlineLevel="0" collapsed="false">
      <c r="C17" s="15" t="s">
        <v>455</v>
      </c>
      <c r="D17" s="17" t="n">
        <f aca="false">AVERAGE(D4:D14)</f>
        <v>85483476636.3636</v>
      </c>
    </row>
    <row r="18" customFormat="false" ht="15" hidden="false" customHeight="false" outlineLevel="0" collapsed="false">
      <c r="C18" s="15" t="s">
        <v>456</v>
      </c>
      <c r="D18" s="17" t="n">
        <f aca="false">MAX(D4:D14)</f>
        <v>936000000000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0" width="35"/>
  </cols>
  <sheetData>
    <row r="1" customFormat="false" ht="19.7" hidden="false" customHeight="false" outlineLevel="0" collapsed="false">
      <c r="A1" s="12" t="s">
        <v>457</v>
      </c>
      <c r="B1" s="12"/>
      <c r="C1" s="12"/>
      <c r="D1" s="12"/>
      <c r="E1" s="12"/>
    </row>
    <row r="3" customFormat="false" ht="15" hidden="false" customHeight="false" outlineLevel="0" collapsed="false">
      <c r="A3" s="18" t="s">
        <v>458</v>
      </c>
    </row>
    <row r="4" customFormat="false" ht="15" hidden="false" customHeight="false" outlineLevel="0" collapsed="false">
      <c r="A4" s="13" t="s">
        <v>459</v>
      </c>
      <c r="B4" s="13" t="s">
        <v>460</v>
      </c>
      <c r="C4" s="13" t="s">
        <v>461</v>
      </c>
      <c r="D4" s="13" t="s">
        <v>462</v>
      </c>
    </row>
    <row r="5" customFormat="false" ht="15" hidden="false" customHeight="false" outlineLevel="0" collapsed="false">
      <c r="A5" s="8" t="s">
        <v>463</v>
      </c>
      <c r="B5" s="8" t="s">
        <v>464</v>
      </c>
      <c r="C5" s="19" t="s">
        <v>85</v>
      </c>
      <c r="D5" s="8" t="s">
        <v>465</v>
      </c>
    </row>
    <row r="6" customFormat="false" ht="15" hidden="false" customHeight="false" outlineLevel="0" collapsed="false">
      <c r="A6" s="8" t="s">
        <v>466</v>
      </c>
      <c r="B6" s="8" t="s">
        <v>467</v>
      </c>
      <c r="C6" s="20" t="s">
        <v>468</v>
      </c>
      <c r="D6" s="8" t="s">
        <v>469</v>
      </c>
    </row>
    <row r="7" customFormat="false" ht="15" hidden="false" customHeight="false" outlineLevel="0" collapsed="false">
      <c r="A7" s="8" t="s">
        <v>470</v>
      </c>
      <c r="B7" s="8" t="s">
        <v>471</v>
      </c>
      <c r="C7" s="19" t="s">
        <v>85</v>
      </c>
      <c r="D7" s="8" t="s">
        <v>472</v>
      </c>
    </row>
    <row r="8" customFormat="false" ht="15" hidden="false" customHeight="false" outlineLevel="0" collapsed="false">
      <c r="A8" s="8" t="s">
        <v>473</v>
      </c>
      <c r="B8" s="8" t="s">
        <v>474</v>
      </c>
      <c r="C8" s="19" t="s">
        <v>85</v>
      </c>
      <c r="D8" s="8" t="s">
        <v>475</v>
      </c>
    </row>
    <row r="9" customFormat="false" ht="15" hidden="false" customHeight="false" outlineLevel="0" collapsed="false">
      <c r="A9" s="8" t="s">
        <v>476</v>
      </c>
      <c r="B9" s="8" t="s">
        <v>477</v>
      </c>
      <c r="C9" s="20" t="s">
        <v>468</v>
      </c>
      <c r="D9" s="8" t="s">
        <v>478</v>
      </c>
    </row>
    <row r="10" customFormat="false" ht="15" hidden="false" customHeight="false" outlineLevel="0" collapsed="false">
      <c r="A10" s="8" t="s">
        <v>479</v>
      </c>
      <c r="B10" s="8" t="s">
        <v>480</v>
      </c>
      <c r="C10" s="10" t="s">
        <v>208</v>
      </c>
      <c r="D10" s="8" t="s">
        <v>481</v>
      </c>
    </row>
    <row r="13" customFormat="false" ht="15" hidden="false" customHeight="false" outlineLevel="0" collapsed="false">
      <c r="A13" s="18" t="s">
        <v>482</v>
      </c>
    </row>
    <row r="14" customFormat="false" ht="15" hidden="false" customHeight="false" outlineLevel="0" collapsed="false">
      <c r="A14" s="13" t="s">
        <v>483</v>
      </c>
      <c r="B14" s="13" t="s">
        <v>484</v>
      </c>
      <c r="C14" s="13" t="s">
        <v>485</v>
      </c>
      <c r="D14" s="13" t="s">
        <v>486</v>
      </c>
    </row>
    <row r="15" customFormat="false" ht="15" hidden="false" customHeight="false" outlineLevel="0" collapsed="false">
      <c r="A15" s="8" t="s">
        <v>13</v>
      </c>
      <c r="B15" s="8" t="s">
        <v>487</v>
      </c>
      <c r="C15" s="8" t="s">
        <v>488</v>
      </c>
      <c r="D15" s="8" t="s">
        <v>489</v>
      </c>
    </row>
    <row r="16" customFormat="false" ht="15" hidden="false" customHeight="false" outlineLevel="0" collapsed="false">
      <c r="A16" s="7" t="s">
        <v>490</v>
      </c>
      <c r="B16" s="7" t="s">
        <v>491</v>
      </c>
      <c r="C16" s="7" t="s">
        <v>492</v>
      </c>
      <c r="D16" s="7" t="s">
        <v>493</v>
      </c>
    </row>
    <row r="17" customFormat="false" ht="15" hidden="false" customHeight="false" outlineLevel="0" collapsed="false">
      <c r="A17" s="8" t="s">
        <v>494</v>
      </c>
      <c r="B17" s="8" t="s">
        <v>495</v>
      </c>
      <c r="C17" s="8" t="s">
        <v>496</v>
      </c>
      <c r="D17" s="8" t="s">
        <v>493</v>
      </c>
    </row>
    <row r="18" customFormat="false" ht="15" hidden="false" customHeight="false" outlineLevel="0" collapsed="false">
      <c r="A18" s="7" t="s">
        <v>497</v>
      </c>
      <c r="B18" s="7" t="s">
        <v>498</v>
      </c>
      <c r="C18" s="7" t="s">
        <v>499</v>
      </c>
      <c r="D18" s="7" t="s">
        <v>493</v>
      </c>
    </row>
    <row r="19" customFormat="false" ht="15" hidden="false" customHeight="false" outlineLevel="0" collapsed="false">
      <c r="A19" s="8" t="s">
        <v>500</v>
      </c>
      <c r="B19" s="8" t="s">
        <v>501</v>
      </c>
      <c r="C19" s="8" t="s">
        <v>502</v>
      </c>
      <c r="D19" s="8" t="s">
        <v>503</v>
      </c>
    </row>
    <row r="20" customFormat="false" ht="15" hidden="false" customHeight="false" outlineLevel="0" collapsed="false">
      <c r="A20" s="7" t="s">
        <v>504</v>
      </c>
      <c r="B20" s="7" t="s">
        <v>505</v>
      </c>
      <c r="C20" s="7" t="s">
        <v>506</v>
      </c>
      <c r="D20" s="7" t="s">
        <v>503</v>
      </c>
    </row>
    <row r="21" customFormat="false" ht="15" hidden="false" customHeight="false" outlineLevel="0" collapsed="false">
      <c r="A21" s="8" t="s">
        <v>507</v>
      </c>
      <c r="B21" s="8" t="s">
        <v>508</v>
      </c>
      <c r="C21" s="8" t="s">
        <v>509</v>
      </c>
      <c r="D21" s="8" t="s">
        <v>489</v>
      </c>
    </row>
    <row r="24" customFormat="false" ht="15" hidden="false" customHeight="false" outlineLevel="0" collapsed="false">
      <c r="A24" s="18" t="s">
        <v>510</v>
      </c>
    </row>
    <row r="25" customFormat="false" ht="15" hidden="false" customHeight="false" outlineLevel="0" collapsed="false">
      <c r="A25" s="13" t="s">
        <v>511</v>
      </c>
      <c r="B25" s="13" t="s">
        <v>512</v>
      </c>
      <c r="C25" s="13" t="s">
        <v>513</v>
      </c>
    </row>
    <row r="26" customFormat="false" ht="15" hidden="false" customHeight="false" outlineLevel="0" collapsed="false">
      <c r="A26" s="8" t="s">
        <v>514</v>
      </c>
      <c r="B26" s="8" t="s">
        <v>515</v>
      </c>
      <c r="C26" s="8" t="s">
        <v>516</v>
      </c>
    </row>
    <row r="27" customFormat="false" ht="15" hidden="false" customHeight="false" outlineLevel="0" collapsed="false">
      <c r="A27" s="8" t="s">
        <v>517</v>
      </c>
      <c r="B27" s="8" t="s">
        <v>518</v>
      </c>
      <c r="C27" s="8" t="s">
        <v>519</v>
      </c>
    </row>
    <row r="28" customFormat="false" ht="15" hidden="false" customHeight="false" outlineLevel="0" collapsed="false">
      <c r="A28" s="8" t="s">
        <v>520</v>
      </c>
      <c r="B28" s="8" t="s">
        <v>521</v>
      </c>
      <c r="C28" s="8" t="s">
        <v>522</v>
      </c>
    </row>
    <row r="29" customFormat="false" ht="15" hidden="false" customHeight="false" outlineLevel="0" collapsed="false">
      <c r="A29" s="8" t="s">
        <v>523</v>
      </c>
      <c r="B29" s="8" t="s">
        <v>524</v>
      </c>
      <c r="C29" s="8" t="s">
        <v>525</v>
      </c>
    </row>
    <row r="30" customFormat="false" ht="15" hidden="false" customHeight="false" outlineLevel="0" collapsed="false">
      <c r="A30" s="8" t="s">
        <v>526</v>
      </c>
      <c r="B30" s="8" t="s">
        <v>527</v>
      </c>
      <c r="C30" s="8" t="s">
        <v>528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80"/>
  </cols>
  <sheetData>
    <row r="1" customFormat="false" ht="19.7" hidden="false" customHeight="false" outlineLevel="0" collapsed="false">
      <c r="A1" s="21" t="s">
        <v>529</v>
      </c>
      <c r="B1" s="21"/>
      <c r="C1" s="21"/>
    </row>
    <row r="3" customFormat="false" ht="15" hidden="false" customHeight="false" outlineLevel="0" collapsed="false">
      <c r="A3" s="18" t="s">
        <v>530</v>
      </c>
    </row>
    <row r="4" customFormat="false" ht="15" hidden="false" customHeight="false" outlineLevel="0" collapsed="false">
      <c r="A4" s="22" t="s">
        <v>531</v>
      </c>
      <c r="B4" s="8" t="s">
        <v>532</v>
      </c>
    </row>
    <row r="5" customFormat="false" ht="15" hidden="false" customHeight="false" outlineLevel="0" collapsed="false">
      <c r="A5" s="22" t="s">
        <v>533</v>
      </c>
      <c r="B5" s="8" t="s">
        <v>534</v>
      </c>
    </row>
    <row r="6" customFormat="false" ht="15" hidden="false" customHeight="false" outlineLevel="0" collapsed="false">
      <c r="A6" s="22" t="s">
        <v>535</v>
      </c>
      <c r="B6" s="8" t="s">
        <v>536</v>
      </c>
    </row>
    <row r="7" customFormat="false" ht="15" hidden="false" customHeight="false" outlineLevel="0" collapsed="false">
      <c r="A7" s="22" t="s">
        <v>537</v>
      </c>
      <c r="B7" s="8" t="s">
        <v>538</v>
      </c>
    </row>
    <row r="8" customFormat="false" ht="15" hidden="false" customHeight="false" outlineLevel="0" collapsed="false">
      <c r="A8" s="22" t="s">
        <v>539</v>
      </c>
      <c r="B8" s="8" t="s">
        <v>540</v>
      </c>
    </row>
    <row r="9" customFormat="false" ht="15" hidden="false" customHeight="false" outlineLevel="0" collapsed="false">
      <c r="A9" s="22" t="s">
        <v>541</v>
      </c>
      <c r="B9" s="8" t="s">
        <v>542</v>
      </c>
    </row>
    <row r="10" customFormat="false" ht="15" hidden="false" customHeight="false" outlineLevel="0" collapsed="false">
      <c r="A10" s="22" t="s">
        <v>543</v>
      </c>
      <c r="B10" s="8" t="s">
        <v>544</v>
      </c>
    </row>
    <row r="11" customFormat="false" ht="15" hidden="false" customHeight="false" outlineLevel="0" collapsed="false">
      <c r="A11" s="22" t="s">
        <v>545</v>
      </c>
      <c r="B11" s="8" t="s">
        <v>546</v>
      </c>
    </row>
    <row r="12" customFormat="false" ht="15" hidden="false" customHeight="false" outlineLevel="0" collapsed="false">
      <c r="A12" s="22" t="s">
        <v>547</v>
      </c>
      <c r="B12" s="8" t="s">
        <v>548</v>
      </c>
    </row>
    <row r="13" customFormat="false" ht="15" hidden="false" customHeight="false" outlineLevel="0" collapsed="false">
      <c r="A13" s="22" t="s">
        <v>549</v>
      </c>
      <c r="B13" s="8" t="s">
        <v>550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2026-04-10T09:56:34Z</dcterms:created>
  <dc:creator>openpyxl</dc:creator>
  <dc:description/>
  <dc:language>en-US</dc:language>
  <cp:lastModifiedBy/>
  <dcterms:modified xsi:type="dcterms:W3CDTF">2026-04-10T13:56:43Z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